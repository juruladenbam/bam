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4228"/>
  <workbookPr/>
  <mc:AlternateContent xmlns:mc="http://schemas.openxmlformats.org/markup-compatibility/2006">
    <mc:Choice Requires="x15">
      <x15ac:absPath xmlns:x15ac="http://schemas.microsoft.com/office/spreadsheetml/2010/11/ac" url="D:\Organisasi\Bani Abdul Manan\Pedoman Pelaksanaan\"/>
    </mc:Choice>
  </mc:AlternateContent>
  <xr:revisionPtr revIDLastSave="0" documentId="13_ncr:1_{D4E88842-DAE1-497E-92E8-5E3B8F78B0C4}" xr6:coauthVersionLast="47" xr6:coauthVersionMax="47" xr10:uidLastSave="{00000000-0000-0000-0000-000000000000}"/>
  <bookViews>
    <workbookView xWindow="-120" yWindow="-120" windowWidth="20730" windowHeight="11160" activeTab="2" xr2:uid="{00000000-000D-0000-FFFF-FFFF00000000}"/>
  </bookViews>
  <sheets>
    <sheet name="Template Matriks Kerja Tahunan " sheetId="3" r:id="rId1"/>
    <sheet name="Template Juklak Juknis FesBAM" sheetId="1" r:id="rId2"/>
    <sheet name="Template Ttg Perlengkapan" sheetId="4" r:id="rId3"/>
    <sheet name="Cth Lap. Keuangan per Kategori" sheetId="6" r:id="rId4"/>
    <sheet name="Cth Lap. Keuangan per Tgl" sheetId="7" r:id="rId5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G15" i="7" l="1"/>
  <c r="G19" i="7"/>
  <c r="G41" i="7" s="1"/>
  <c r="G20" i="7"/>
  <c r="G21" i="7"/>
  <c r="G22" i="7"/>
  <c r="G23" i="7"/>
  <c r="G24" i="7"/>
  <c r="G25" i="7"/>
  <c r="G26" i="7"/>
  <c r="G27" i="7"/>
  <c r="G28" i="7"/>
  <c r="G29" i="7"/>
  <c r="G30" i="7"/>
  <c r="G31" i="7"/>
  <c r="G32" i="7"/>
  <c r="G33" i="7"/>
  <c r="G34" i="7"/>
  <c r="G35" i="7"/>
  <c r="G36" i="7"/>
  <c r="G37" i="7"/>
  <c r="G38" i="7"/>
  <c r="G39" i="7"/>
  <c r="G40" i="7"/>
  <c r="E48" i="7"/>
  <c r="G48" i="7"/>
  <c r="H48" i="7"/>
  <c r="H53" i="7" s="1"/>
  <c r="I48" i="7"/>
  <c r="E49" i="7"/>
  <c r="G49" i="7" s="1"/>
  <c r="I49" i="7" s="1"/>
  <c r="H49" i="7"/>
  <c r="E50" i="7"/>
  <c r="G50" i="7"/>
  <c r="H50" i="7"/>
  <c r="I50" i="7"/>
  <c r="E51" i="7"/>
  <c r="G51" i="7" s="1"/>
  <c r="I51" i="7" s="1"/>
  <c r="H51" i="7"/>
  <c r="E52" i="7"/>
  <c r="G52" i="7"/>
  <c r="H52" i="7"/>
  <c r="I52" i="7"/>
  <c r="F53" i="7"/>
  <c r="C63" i="7" s="1"/>
  <c r="E57" i="7"/>
  <c r="G57" i="7"/>
  <c r="H57" i="7"/>
  <c r="H60" i="7" s="1"/>
  <c r="I57" i="7"/>
  <c r="E58" i="7"/>
  <c r="G58" i="7" s="1"/>
  <c r="I58" i="7" s="1"/>
  <c r="H58" i="7"/>
  <c r="E59" i="7"/>
  <c r="G59" i="7"/>
  <c r="H59" i="7"/>
  <c r="I59" i="7"/>
  <c r="F60" i="7"/>
  <c r="G71" i="7"/>
  <c r="I60" i="7" l="1"/>
  <c r="I53" i="7"/>
  <c r="C65" i="7" s="1"/>
  <c r="C73" i="7" s="1"/>
  <c r="C64" i="7"/>
  <c r="C67" i="7" s="1"/>
  <c r="C70" i="7" s="1"/>
  <c r="G60" i="7"/>
  <c r="G53" i="7"/>
  <c r="C3" i="7"/>
  <c r="F9" i="6"/>
  <c r="G9" i="6" s="1"/>
  <c r="G10" i="6" s="1"/>
  <c r="G11" i="6" s="1"/>
  <c r="G12" i="6" s="1"/>
  <c r="G13" i="6" s="1"/>
  <c r="G14" i="6" s="1"/>
  <c r="G15" i="6" s="1"/>
  <c r="G16" i="6" s="1"/>
  <c r="G17" i="6" s="1"/>
  <c r="G18" i="6" s="1"/>
  <c r="G19" i="6" s="1"/>
  <c r="G20" i="6" s="1"/>
  <c r="G21" i="6" s="1"/>
  <c r="G22" i="6" s="1"/>
  <c r="G23" i="6" s="1"/>
  <c r="G24" i="6" s="1"/>
  <c r="G25" i="6" s="1"/>
  <c r="G26" i="6" s="1"/>
  <c r="G27" i="6" s="1"/>
  <c r="G28" i="6" s="1"/>
  <c r="G29" i="6" s="1"/>
  <c r="G30" i="6" s="1"/>
  <c r="G31" i="6" s="1"/>
  <c r="G32" i="6" s="1"/>
  <c r="G33" i="6" s="1"/>
  <c r="G34" i="6" s="1"/>
  <c r="G35" i="6" s="1"/>
  <c r="G36" i="6" s="1"/>
  <c r="G37" i="6" s="1"/>
  <c r="G38" i="6" s="1"/>
  <c r="G39" i="6" s="1"/>
  <c r="G40" i="6" s="1"/>
  <c r="G41" i="6" s="1"/>
  <c r="G42" i="6" s="1"/>
  <c r="G43" i="6" s="1"/>
  <c r="G44" i="6" s="1"/>
  <c r="G45" i="6" s="1"/>
  <c r="G46" i="6" s="1"/>
  <c r="G47" i="6" s="1"/>
  <c r="G48" i="6" s="1"/>
  <c r="G49" i="6" s="1"/>
  <c r="G50" i="6" s="1"/>
  <c r="G51" i="6" s="1"/>
  <c r="G52" i="6" s="1"/>
  <c r="G53" i="6" s="1"/>
  <c r="G54" i="6" s="1"/>
  <c r="G55" i="6" s="1"/>
  <c r="G56" i="6" s="1"/>
  <c r="G57" i="6" s="1"/>
  <c r="G58" i="6" s="1"/>
  <c r="G63" i="6" s="1"/>
  <c r="G64" i="6" s="1"/>
  <c r="G65" i="6" s="1"/>
  <c r="G66" i="6" s="1"/>
  <c r="G67" i="6" s="1"/>
  <c r="G68" i="6" s="1"/>
  <c r="G69" i="6" s="1"/>
  <c r="G70" i="6" s="1"/>
  <c r="G71" i="6" s="1"/>
  <c r="G72" i="6" s="1"/>
  <c r="G73" i="6" s="1"/>
  <c r="G74" i="6" s="1"/>
  <c r="G75" i="6" s="1"/>
  <c r="G76" i="6" s="1"/>
  <c r="G77" i="6" s="1"/>
  <c r="G78" i="6" s="1"/>
  <c r="G79" i="6" s="1"/>
  <c r="G80" i="6" s="1"/>
  <c r="G81" i="6" s="1"/>
  <c r="G82" i="6" s="1"/>
  <c r="G83" i="6" s="1"/>
  <c r="G84" i="6" s="1"/>
  <c r="G85" i="6" s="1"/>
  <c r="G86" i="6" s="1"/>
  <c r="G87" i="6" s="1"/>
  <c r="G88" i="6" s="1"/>
  <c r="G89" i="6" s="1"/>
  <c r="G90" i="6" s="1"/>
  <c r="G91" i="6" s="1"/>
  <c r="G92" i="6" s="1"/>
  <c r="G93" i="6" s="1"/>
  <c r="G94" i="6" s="1"/>
  <c r="G95" i="6" s="1"/>
  <c r="G96" i="6" s="1"/>
  <c r="G97" i="6" s="1"/>
  <c r="G98" i="6" s="1"/>
  <c r="G99" i="6" s="1"/>
  <c r="G100" i="6" s="1"/>
  <c r="G101" i="6" s="1"/>
  <c r="G102" i="6" s="1"/>
  <c r="G103" i="6" s="1"/>
  <c r="G104" i="6" s="1"/>
  <c r="G105" i="6" s="1"/>
  <c r="G106" i="6" s="1"/>
  <c r="G107" i="6" s="1"/>
  <c r="G108" i="6" s="1"/>
  <c r="G110" i="6" s="1"/>
  <c r="F10" i="6"/>
  <c r="F11" i="6"/>
  <c r="F12" i="6"/>
  <c r="F13" i="6"/>
  <c r="F14" i="6"/>
  <c r="F15" i="6"/>
  <c r="F16" i="6"/>
  <c r="F17" i="6"/>
  <c r="F18" i="6"/>
  <c r="F19" i="6"/>
  <c r="F20" i="6"/>
  <c r="F21" i="6"/>
  <c r="F22" i="6"/>
  <c r="F23" i="6"/>
  <c r="F24" i="6"/>
  <c r="F25" i="6"/>
  <c r="F26" i="6"/>
  <c r="F27" i="6"/>
  <c r="F28" i="6"/>
  <c r="F29" i="6"/>
  <c r="F30" i="6"/>
  <c r="F31" i="6"/>
  <c r="F32" i="6"/>
  <c r="F33" i="6"/>
  <c r="F34" i="6"/>
  <c r="F35" i="6"/>
  <c r="F36" i="6"/>
  <c r="F37" i="6"/>
  <c r="F38" i="6"/>
  <c r="F39" i="6"/>
  <c r="F40" i="6"/>
  <c r="F41" i="6"/>
  <c r="F42" i="6"/>
  <c r="F45" i="6"/>
  <c r="F46" i="6"/>
  <c r="F47" i="6"/>
  <c r="F48" i="6"/>
  <c r="F49" i="6"/>
  <c r="F50" i="6"/>
  <c r="F51" i="6"/>
  <c r="F52" i="6"/>
  <c r="F53" i="6"/>
  <c r="F54" i="6"/>
  <c r="F55" i="6"/>
  <c r="F56" i="6"/>
  <c r="F57" i="6"/>
  <c r="F58" i="6"/>
  <c r="F63" i="6"/>
  <c r="F64" i="6"/>
  <c r="F65" i="6"/>
  <c r="F68" i="6"/>
  <c r="F69" i="6"/>
  <c r="F70" i="6"/>
  <c r="F71" i="6"/>
  <c r="F72" i="6"/>
  <c r="F73" i="6"/>
  <c r="F74" i="6"/>
  <c r="F75" i="6"/>
  <c r="F76" i="6"/>
  <c r="F77" i="6"/>
  <c r="F78" i="6"/>
  <c r="F79" i="6"/>
  <c r="F80" i="6"/>
  <c r="F81" i="6"/>
  <c r="F82" i="6"/>
  <c r="F83" i="6"/>
  <c r="F84" i="6"/>
  <c r="F85" i="6"/>
  <c r="F86" i="6"/>
  <c r="F87" i="6"/>
  <c r="F88" i="6"/>
  <c r="F89" i="6"/>
  <c r="F90" i="6"/>
  <c r="F91" i="6"/>
  <c r="F92" i="6"/>
  <c r="F95" i="6"/>
  <c r="F96" i="6"/>
  <c r="F97" i="6"/>
  <c r="F98" i="6"/>
  <c r="F99" i="6"/>
  <c r="F100" i="6"/>
  <c r="F101" i="6"/>
  <c r="F102" i="6"/>
  <c r="F103" i="6"/>
  <c r="F104" i="6"/>
  <c r="F105" i="6"/>
  <c r="F106" i="6"/>
  <c r="F107" i="6"/>
  <c r="F108" i="6"/>
  <c r="C4" i="7" l="1"/>
  <c r="C5" i="7" s="1"/>
  <c r="C75" i="7"/>
</calcChain>
</file>

<file path=xl/sharedStrings.xml><?xml version="1.0" encoding="utf-8"?>
<sst xmlns="http://schemas.openxmlformats.org/spreadsheetml/2006/main" count="806" uniqueCount="422">
  <si>
    <t>Hari Jumat, xx bulan 202x</t>
  </si>
  <si>
    <t>*Perlengkapan disiapkan satu hari sebelumnya</t>
  </si>
  <si>
    <t>*Perlengkapan dicek kembali 30 menit sebelum acara</t>
  </si>
  <si>
    <t>Acara</t>
  </si>
  <si>
    <t>PJ</t>
  </si>
  <si>
    <t>Perlengkapan</t>
  </si>
  <si>
    <t>Checklist</t>
  </si>
  <si>
    <t>Maulid Simtudduror</t>
  </si>
  <si>
    <t>1. Mic</t>
  </si>
  <si>
    <t>2. Buku Sholawat</t>
  </si>
  <si>
    <t>3. Terbang Banjari</t>
  </si>
  <si>
    <t>Dekorasi</t>
  </si>
  <si>
    <t>1. Banner Mbah-Mbah</t>
  </si>
  <si>
    <t>2. Backdgorund Foto</t>
  </si>
  <si>
    <t>Tahlil Kubro</t>
  </si>
  <si>
    <t>Restu Sesepuh</t>
  </si>
  <si>
    <t>1. Toa/Speaker portable</t>
  </si>
  <si>
    <r>
      <t xml:space="preserve">2. </t>
    </r>
    <r>
      <rPr>
        <sz val="11"/>
        <color rgb="FFFF0000"/>
        <rFont val="Calibri"/>
        <family val="2"/>
        <scheme val="minor"/>
      </rPr>
      <t>xxxxxxx</t>
    </r>
  </si>
  <si>
    <t>Manaqib</t>
  </si>
  <si>
    <t>2. Buku Manaqib   utuh/pecahan</t>
  </si>
  <si>
    <t>Pengondisian Tempat</t>
  </si>
  <si>
    <t>Resik-resik</t>
  </si>
  <si>
    <t>3. Banner Jadwal</t>
  </si>
  <si>
    <t>Tempat</t>
  </si>
  <si>
    <t>Waktu</t>
  </si>
  <si>
    <t>Langgar</t>
  </si>
  <si>
    <t>Area Langgar</t>
  </si>
  <si>
    <t>1. Mbah sol</t>
  </si>
  <si>
    <t>1. Umbul2</t>
  </si>
  <si>
    <t>2. xxxx</t>
  </si>
  <si>
    <t>2. xxxxxxxxx</t>
  </si>
  <si>
    <t>Petunjuk Teknis dan Petunjuk Pelaksanaan Festival BAM</t>
  </si>
  <si>
    <t>Hari Sabtu, xx bulan 202x</t>
  </si>
  <si>
    <t>Asma'ul Husnah</t>
  </si>
  <si>
    <t>Sholat Dhuha</t>
  </si>
  <si>
    <t>Surah Al-Waqiah</t>
  </si>
  <si>
    <t>2. Text Asma'ul Husnah</t>
  </si>
  <si>
    <t>06.00</t>
  </si>
  <si>
    <t>08.00</t>
  </si>
  <si>
    <t xml:space="preserve">Ziarah Makam </t>
  </si>
  <si>
    <t>Panggerman</t>
  </si>
  <si>
    <t>Medali</t>
  </si>
  <si>
    <t>Plososari</t>
  </si>
  <si>
    <t>1. Toa/Spekaer Portable</t>
  </si>
  <si>
    <t>2. Mikrolet</t>
  </si>
  <si>
    <t>3. Bendera</t>
  </si>
  <si>
    <t>4. Koran</t>
  </si>
  <si>
    <t>5. Polibag</t>
  </si>
  <si>
    <t>6. Kembang</t>
  </si>
  <si>
    <t>7. Patwal</t>
  </si>
  <si>
    <t>Ishoma</t>
  </si>
  <si>
    <t>BAM Cilik</t>
  </si>
  <si>
    <t>Depan Langgar</t>
  </si>
  <si>
    <t>1. Sound Sistem</t>
  </si>
  <si>
    <t>2. Karpet</t>
  </si>
  <si>
    <t>3. Panggung</t>
  </si>
  <si>
    <t>4. Dekorasi</t>
  </si>
  <si>
    <t>5. Jajan Arek Cilik</t>
  </si>
  <si>
    <t>Sowan warga kampung miji dan sekitarnya</t>
  </si>
  <si>
    <t>Miji dan sekitarnya</t>
  </si>
  <si>
    <t>2. Parcel</t>
  </si>
  <si>
    <t>Rotibul Haddad</t>
  </si>
  <si>
    <t>2. Text Rotibul Haddad</t>
  </si>
  <si>
    <t>Sholawat Burdah &amp; Sholawat Nariyah</t>
  </si>
  <si>
    <t>2. Text Burdah dan Nariyah</t>
  </si>
  <si>
    <t>3. Biji2an gawe ngitung</t>
  </si>
  <si>
    <t>Dialogue</t>
  </si>
  <si>
    <t>1. Mic seng akeh</t>
  </si>
  <si>
    <t>2. Konsep Acara</t>
  </si>
  <si>
    <t>6. Konsep Acara</t>
  </si>
  <si>
    <t>Hari Minggu, xx bulan 202x</t>
  </si>
  <si>
    <t>Khotmil Qur'an</t>
  </si>
  <si>
    <t>2. Qur'an Pecahan</t>
  </si>
  <si>
    <t>1. Sound System</t>
  </si>
  <si>
    <t>3. Meja</t>
  </si>
  <si>
    <t>Pos 2</t>
  </si>
  <si>
    <t>Pos  3</t>
  </si>
  <si>
    <t>09.30</t>
  </si>
  <si>
    <t>Tausiyah Birrul Walidain</t>
  </si>
  <si>
    <t>05.45</t>
  </si>
  <si>
    <t>2. Text Birrul Walidain</t>
  </si>
  <si>
    <t>3. Kursi Kyiai</t>
  </si>
  <si>
    <t>4. Minum Kyiai</t>
  </si>
  <si>
    <t>5. Amplop Kyiai</t>
  </si>
  <si>
    <t>Ziarah Makam</t>
  </si>
  <si>
    <t>Suratan</t>
  </si>
  <si>
    <t>2. Koran</t>
  </si>
  <si>
    <t>3. Polibag</t>
  </si>
  <si>
    <t>4. Kembang</t>
  </si>
  <si>
    <t>Sholawat Diba'</t>
  </si>
  <si>
    <t>2. Text Diba'</t>
  </si>
  <si>
    <t>4. Terbang Prak</t>
  </si>
  <si>
    <t>Bazar Amal</t>
  </si>
  <si>
    <t>1. Speaker Portable</t>
  </si>
  <si>
    <t>2. Kehebohan</t>
  </si>
  <si>
    <t>3. Meja dan Karpet</t>
  </si>
  <si>
    <t>Kegiatan</t>
  </si>
  <si>
    <t>1</t>
  </si>
  <si>
    <t>2</t>
  </si>
  <si>
    <t>3</t>
  </si>
  <si>
    <t>4</t>
  </si>
  <si>
    <t>5</t>
  </si>
  <si>
    <t>6</t>
  </si>
  <si>
    <t>7</t>
  </si>
  <si>
    <t>8</t>
  </si>
  <si>
    <t>9</t>
  </si>
  <si>
    <t>10</t>
  </si>
  <si>
    <t>11</t>
  </si>
  <si>
    <t>12</t>
  </si>
  <si>
    <t>13</t>
  </si>
  <si>
    <t>14</t>
  </si>
  <si>
    <t>15</t>
  </si>
  <si>
    <t>16</t>
  </si>
  <si>
    <t>17</t>
  </si>
  <si>
    <t>18</t>
  </si>
  <si>
    <t>19</t>
  </si>
  <si>
    <t>20</t>
  </si>
  <si>
    <t>21</t>
  </si>
  <si>
    <t>22</t>
  </si>
  <si>
    <t>23</t>
  </si>
  <si>
    <t>24</t>
  </si>
  <si>
    <t>25</t>
  </si>
  <si>
    <t>26</t>
  </si>
  <si>
    <t>27</t>
  </si>
  <si>
    <t>28</t>
  </si>
  <si>
    <t>29</t>
  </si>
  <si>
    <t>30</t>
  </si>
  <si>
    <t>Bulan-2 Fest. BAM</t>
  </si>
  <si>
    <t>Bulan-1 Festival BAM</t>
  </si>
  <si>
    <t>Bulan Festival BAM</t>
  </si>
  <si>
    <t>No.</t>
  </si>
  <si>
    <t>Nama Benda</t>
  </si>
  <si>
    <t>Jumlah</t>
  </si>
  <si>
    <t>Kategori</t>
  </si>
  <si>
    <t>1. Undangan warga</t>
  </si>
  <si>
    <t>Banner Mbah-Mbah</t>
  </si>
  <si>
    <t>Banner Jadwal</t>
  </si>
  <si>
    <t>Background Foto</t>
  </si>
  <si>
    <t>Umbul-Umbul</t>
  </si>
  <si>
    <t>Rapat Konsep FesBAM 
(BAM CILIK + DIALOGUE)</t>
  </si>
  <si>
    <t>Rapat Fiksasi Timeline Tahunan</t>
  </si>
  <si>
    <t>Publikasi</t>
  </si>
  <si>
    <t>Rencana Anggaran</t>
  </si>
  <si>
    <t>Terop</t>
  </si>
  <si>
    <t>Seribu Putu</t>
  </si>
  <si>
    <t>Penggalangan Dana</t>
  </si>
  <si>
    <t>Kyai Penceramah</t>
  </si>
  <si>
    <t>Sound System</t>
  </si>
  <si>
    <t>Sepur Kelinci</t>
  </si>
  <si>
    <t>Mikrolet</t>
  </si>
  <si>
    <t>Rumah Balon</t>
  </si>
  <si>
    <t>Kembang Kuburan</t>
  </si>
  <si>
    <t>Kembang Api</t>
  </si>
  <si>
    <t>Perijinan Sepur Kelinci</t>
  </si>
  <si>
    <t>Rapat Interen Juru Laden</t>
  </si>
  <si>
    <t>Rapat Umum BAM</t>
  </si>
  <si>
    <t>Pembagian Konsumsi</t>
  </si>
  <si>
    <t>Update Silsilah</t>
  </si>
  <si>
    <t>Hari H Festival BAM</t>
  </si>
  <si>
    <t>Pembukuan Keuangan</t>
  </si>
  <si>
    <t>Inventarisasi</t>
  </si>
  <si>
    <t>Rapat HBH</t>
  </si>
  <si>
    <t>Hari H HBH</t>
  </si>
  <si>
    <t>Mencari Villa</t>
  </si>
  <si>
    <t>Belanja-Belanja</t>
  </si>
  <si>
    <t>Hari H Merjaut Cinta</t>
  </si>
  <si>
    <t>Rapat Konsep Merajut Cinta</t>
  </si>
  <si>
    <t>UMUM</t>
  </si>
  <si>
    <t>FESTIVAL BAM</t>
  </si>
  <si>
    <t>Bulan Merajut Cinta</t>
  </si>
  <si>
    <t>Bulan Ramadhan Syawal</t>
  </si>
  <si>
    <t>MERAJUT CINTA</t>
  </si>
  <si>
    <t>HALAL BI HALAL BAM</t>
  </si>
  <si>
    <t>MATRIKS KERJA 
JURU LADEN BAM TH. 202X</t>
  </si>
  <si>
    <t>Panggung</t>
  </si>
  <si>
    <t>Mic</t>
  </si>
  <si>
    <t>Toa/Speaker Portable</t>
  </si>
  <si>
    <t>Undangan Warga</t>
  </si>
  <si>
    <t>Parcel</t>
  </si>
  <si>
    <t>Karpet</t>
  </si>
  <si>
    <t>Bendera</t>
  </si>
  <si>
    <t>Koran</t>
  </si>
  <si>
    <t>Polybag</t>
  </si>
  <si>
    <t>Kembang</t>
  </si>
  <si>
    <t>Jajan Arek Cilik</t>
  </si>
  <si>
    <t>Biji2an Gawe Ngitung Nariyah</t>
  </si>
  <si>
    <t>Meja Konsumsi</t>
  </si>
  <si>
    <t>Gelas Plastik</t>
  </si>
  <si>
    <t>Mangkok</t>
  </si>
  <si>
    <t>Piring</t>
  </si>
  <si>
    <t>Sendok</t>
  </si>
  <si>
    <t>Kursi Kyiai</t>
  </si>
  <si>
    <t>Terbang Prak</t>
  </si>
  <si>
    <t>Terbang Banjari</t>
  </si>
  <si>
    <t>Dokumen</t>
  </si>
  <si>
    <t>Buku Sholawat</t>
  </si>
  <si>
    <t>Buku Manaqib</t>
  </si>
  <si>
    <t>Text Asma'ul Husnah</t>
  </si>
  <si>
    <t>Text Rotibul Haddad</t>
  </si>
  <si>
    <t>Text Burdah</t>
  </si>
  <si>
    <t>Text Nariyah</t>
  </si>
  <si>
    <t>Qur'an Pecahan</t>
  </si>
  <si>
    <t>Meja Khataman</t>
  </si>
  <si>
    <t>Text Birrul Walidain</t>
  </si>
  <si>
    <t>Text Diba'</t>
  </si>
  <si>
    <t>Konsumsi</t>
  </si>
  <si>
    <t>List Kebutuhan</t>
  </si>
  <si>
    <t>Akomodasi</t>
  </si>
  <si>
    <t>Patwal</t>
  </si>
  <si>
    <t>31</t>
  </si>
  <si>
    <t>32</t>
  </si>
  <si>
    <t>33</t>
  </si>
  <si>
    <t>34</t>
  </si>
  <si>
    <t>35</t>
  </si>
  <si>
    <t>36</t>
  </si>
  <si>
    <t>37</t>
  </si>
  <si>
    <t>Update Tgl : xx bulan 202x</t>
  </si>
  <si>
    <t>List Inventaris</t>
  </si>
  <si>
    <t>Athiyah Al Jazilah</t>
  </si>
  <si>
    <t>Faris Abdillah</t>
  </si>
  <si>
    <t>Bendahara</t>
  </si>
  <si>
    <t>Ketua Panitia</t>
  </si>
  <si>
    <t>Mojokerto, 01 Mei 2019</t>
  </si>
  <si>
    <t>Mengetahui</t>
  </si>
  <si>
    <t>Saldo Akhir</t>
  </si>
  <si>
    <t>Petugas Sampah</t>
  </si>
  <si>
    <t>Liter</t>
  </si>
  <si>
    <t>Bensin Antar-Jemput Kyai</t>
  </si>
  <si>
    <t>Bensin Antar Undangan</t>
  </si>
  <si>
    <t>Bensin Ambil Kembang</t>
  </si>
  <si>
    <t>Unit</t>
  </si>
  <si>
    <t>Becak Tukang Rujak</t>
  </si>
  <si>
    <t>Lokasi</t>
  </si>
  <si>
    <t xml:space="preserve">Becak </t>
  </si>
  <si>
    <t>Becak Belanja</t>
  </si>
  <si>
    <t>Shodaqoh Makam</t>
  </si>
  <si>
    <t>Menyeberang Jalan (Ziarah)</t>
  </si>
  <si>
    <t>Parkir</t>
  </si>
  <si>
    <t>Sangu BAM Cilik</t>
  </si>
  <si>
    <t>Bisyaroh Kebersihan</t>
  </si>
  <si>
    <t>Bisyaroh Korah-Korah</t>
  </si>
  <si>
    <t>Bisyaroh Kyai</t>
  </si>
  <si>
    <t>Transportasi &amp; Akomodasi</t>
  </si>
  <si>
    <t>E</t>
  </si>
  <si>
    <t>Botol</t>
  </si>
  <si>
    <t>Larutan Penyegar</t>
  </si>
  <si>
    <t>Paket</t>
  </si>
  <si>
    <t>Konsumsi Supir Mikorlet</t>
  </si>
  <si>
    <t>Pack</t>
  </si>
  <si>
    <t>Rokok Supir Mikrolet</t>
  </si>
  <si>
    <t>Rokok Penjaga Mainan</t>
  </si>
  <si>
    <t>Rokok Pasang Terop</t>
  </si>
  <si>
    <t>Rokok Kebersihan</t>
  </si>
  <si>
    <t>Galon</t>
  </si>
  <si>
    <t>Isi Ulang Galon</t>
  </si>
  <si>
    <t>Konsumsi Pasang Terop</t>
  </si>
  <si>
    <t>Bungkus</t>
  </si>
  <si>
    <t>Telur 1/2kg</t>
  </si>
  <si>
    <t>Minyak Goreng</t>
  </si>
  <si>
    <t>Beras 5kg</t>
  </si>
  <si>
    <t>Konsumsi (Rujak Cingur)</t>
  </si>
  <si>
    <t>Spon Cuci Piring</t>
  </si>
  <si>
    <t>Buah (Suguhan Kyai)</t>
  </si>
  <si>
    <t>Kopi</t>
  </si>
  <si>
    <t>Sirup</t>
  </si>
  <si>
    <t>Gula 5kg</t>
  </si>
  <si>
    <t>Es Batu (Ice Tube)</t>
  </si>
  <si>
    <t>Sirup (Marjan)</t>
  </si>
  <si>
    <t>Lusin</t>
  </si>
  <si>
    <t>Piring Plastik</t>
  </si>
  <si>
    <t>Biji</t>
  </si>
  <si>
    <t>Centong Nasi</t>
  </si>
  <si>
    <t>Slop</t>
  </si>
  <si>
    <t>Buah</t>
  </si>
  <si>
    <t>Tissue</t>
  </si>
  <si>
    <t>Kertas Minyak</t>
  </si>
  <si>
    <t>Dos</t>
  </si>
  <si>
    <t>Air Mineral</t>
  </si>
  <si>
    <t>D</t>
  </si>
  <si>
    <t>Solasi Kertas</t>
  </si>
  <si>
    <t>Lembar</t>
  </si>
  <si>
    <t>Kertas Kado</t>
  </si>
  <si>
    <t>Lakban</t>
  </si>
  <si>
    <t>(Rp)</t>
  </si>
  <si>
    <t>Satuan (Rp)</t>
  </si>
  <si>
    <t>Saldo</t>
  </si>
  <si>
    <t>Harga</t>
  </si>
  <si>
    <t>Volume</t>
  </si>
  <si>
    <t>Satuan</t>
  </si>
  <si>
    <t>Keterangan</t>
  </si>
  <si>
    <t>No</t>
  </si>
  <si>
    <t>Penghapus</t>
  </si>
  <si>
    <t>Rautan</t>
  </si>
  <si>
    <t>Pensil</t>
  </si>
  <si>
    <t>Amplop Besar</t>
  </si>
  <si>
    <t>Selotip/Solasi Bening</t>
  </si>
  <si>
    <t>Spidol Kecil</t>
  </si>
  <si>
    <t>Isi Stapples</t>
  </si>
  <si>
    <t>Stapples</t>
  </si>
  <si>
    <t>Label Nama</t>
  </si>
  <si>
    <t>Kertas Undangan (Linen)</t>
  </si>
  <si>
    <t>Plastik Undangan</t>
  </si>
  <si>
    <t>Spidol Besar</t>
  </si>
  <si>
    <t>Bulpoin</t>
  </si>
  <si>
    <t>Buku Tulis</t>
  </si>
  <si>
    <t>Undangan &amp; ATK</t>
  </si>
  <si>
    <t>C</t>
  </si>
  <si>
    <t>Karet</t>
  </si>
  <si>
    <t>Stik Balon</t>
  </si>
  <si>
    <t>Pengharum Ruangan</t>
  </si>
  <si>
    <t>Obat Rumput Roundup</t>
  </si>
  <si>
    <t>Timba/5kg</t>
  </si>
  <si>
    <t>Cat Tembok</t>
  </si>
  <si>
    <t>Kuas Besar</t>
  </si>
  <si>
    <t>Kuas Kecil</t>
  </si>
  <si>
    <t>Soda Api</t>
  </si>
  <si>
    <t>Tinner</t>
  </si>
  <si>
    <t>Kaleng</t>
  </si>
  <si>
    <t>Cat Emas</t>
  </si>
  <si>
    <t>Stop Kontak</t>
  </si>
  <si>
    <t>Transaksi</t>
  </si>
  <si>
    <t>Transfer Bunga (Adm.)</t>
  </si>
  <si>
    <t>Pollybag</t>
  </si>
  <si>
    <t>Plastik OPP</t>
  </si>
  <si>
    <t>Gunting</t>
  </si>
  <si>
    <t>Roll</t>
  </si>
  <si>
    <t>Kertas Sampul Bingkisan</t>
  </si>
  <si>
    <t>Baterai TOA (Kecil)</t>
  </si>
  <si>
    <t>Jek Mic</t>
  </si>
  <si>
    <t>Kotak Stereoform</t>
  </si>
  <si>
    <t>Kapi</t>
  </si>
  <si>
    <t>Serbet</t>
  </si>
  <si>
    <t>Sabun Cuci Piring</t>
  </si>
  <si>
    <t>Baterai TOA (Besar)</t>
  </si>
  <si>
    <t>Kresek Putih Besar</t>
  </si>
  <si>
    <t>Sewa Kostum (BAM Cilik)</t>
  </si>
  <si>
    <t>Celengan 2020</t>
  </si>
  <si>
    <t>Parcel Warga</t>
  </si>
  <si>
    <t>Bingkisan Mbah-Mbah</t>
  </si>
  <si>
    <t>Kresek</t>
  </si>
  <si>
    <t>Paket/Hari</t>
  </si>
  <si>
    <t>Mainan BAM Cilik</t>
  </si>
  <si>
    <t>B</t>
  </si>
  <si>
    <t>Celengan &amp; Amplop</t>
  </si>
  <si>
    <t>A</t>
  </si>
  <si>
    <t>RINCIAN ANGGARAN DANA FESTIVAL BAM 2019</t>
  </si>
  <si>
    <t>Margin:</t>
  </si>
  <si>
    <t>Kekurangan Kulak</t>
  </si>
  <si>
    <t>Uang Real</t>
  </si>
  <si>
    <t>TOTAL</t>
  </si>
  <si>
    <t>Faris</t>
  </si>
  <si>
    <t>Total Laba Akhir KAOS</t>
  </si>
  <si>
    <t>Odi</t>
  </si>
  <si>
    <t>Untuk Belanja</t>
  </si>
  <si>
    <t>Ova</t>
  </si>
  <si>
    <t>Beliin Cak Abib</t>
  </si>
  <si>
    <t>Mas Ais</t>
  </si>
  <si>
    <t>Total Laba</t>
  </si>
  <si>
    <t>Wisky</t>
  </si>
  <si>
    <t xml:space="preserve">Pipit </t>
  </si>
  <si>
    <t>Total Kulak</t>
  </si>
  <si>
    <t>Ziyan</t>
  </si>
  <si>
    <t>Laba Kotor</t>
  </si>
  <si>
    <t>Ujik</t>
  </si>
  <si>
    <t>List Belum Lunas:</t>
  </si>
  <si>
    <t>Total Pesen</t>
  </si>
  <si>
    <t>Kesimpulan:</t>
  </si>
  <si>
    <t>Oversize Pendek</t>
  </si>
  <si>
    <t>Pendek</t>
  </si>
  <si>
    <t>Panjang</t>
  </si>
  <si>
    <t>Harga Kulak</t>
  </si>
  <si>
    <t>Laba KOTOR</t>
  </si>
  <si>
    <t>Laba Bersih</t>
  </si>
  <si>
    <t>Quantity</t>
  </si>
  <si>
    <t>Margin</t>
  </si>
  <si>
    <t>Harga Jual Satuan</t>
  </si>
  <si>
    <t>Harga Beli Satuan(asumsi)</t>
  </si>
  <si>
    <t>Ukuran</t>
  </si>
  <si>
    <t>BELUM LUNAS</t>
  </si>
  <si>
    <t>Anak</t>
  </si>
  <si>
    <t>Oversize Panjang</t>
  </si>
  <si>
    <t>LUNAS</t>
  </si>
  <si>
    <t>REKAP KAOS (Update 4 April 2021)</t>
  </si>
  <si>
    <t>Berkali-kali Mubengan</t>
  </si>
  <si>
    <t>Parkir Total</t>
  </si>
  <si>
    <t>Quota</t>
  </si>
  <si>
    <t>Amal Kuburan</t>
  </si>
  <si>
    <t>Bungkus (1 bungkus 3 batrai)</t>
  </si>
  <si>
    <t xml:space="preserve">Batrai Alkaline </t>
  </si>
  <si>
    <t>Fotocopy Patra</t>
  </si>
  <si>
    <t xml:space="preserve">Kresek Bening </t>
  </si>
  <si>
    <t>Box</t>
  </si>
  <si>
    <t>Masker</t>
  </si>
  <si>
    <t>Set</t>
  </si>
  <si>
    <t>Kg</t>
  </si>
  <si>
    <t xml:space="preserve">Cat </t>
  </si>
  <si>
    <t>Hand Sanitizer</t>
  </si>
  <si>
    <t>Mangkok Mika</t>
  </si>
  <si>
    <t>Sendok Plastik</t>
  </si>
  <si>
    <t>Vixal</t>
  </si>
  <si>
    <t>Thinner</t>
  </si>
  <si>
    <t>Sarung Tangan</t>
  </si>
  <si>
    <t>Jumlah Dana</t>
  </si>
  <si>
    <t>Harga Satuan</t>
  </si>
  <si>
    <t>Keperluan</t>
  </si>
  <si>
    <t>Tanggal</t>
  </si>
  <si>
    <t>Pengeluaran</t>
  </si>
  <si>
    <t>Mbah Dori Secret Meeting</t>
  </si>
  <si>
    <t>Laba Kaos</t>
  </si>
  <si>
    <t>Celengan 4</t>
  </si>
  <si>
    <t>Celengan 3</t>
  </si>
  <si>
    <t>Celengan 2</t>
  </si>
  <si>
    <t>Celengan 1</t>
  </si>
  <si>
    <t>Sumber Dana</t>
  </si>
  <si>
    <t xml:space="preserve">Pemasukan </t>
  </si>
  <si>
    <t>TOTAL LABA FESTIVAL BAM 2021:</t>
  </si>
  <si>
    <t>(Menunggu Pelunasan)</t>
  </si>
  <si>
    <t>Netto Kaos</t>
  </si>
  <si>
    <t>(PAS)</t>
  </si>
  <si>
    <t>Netto Belanja</t>
  </si>
  <si>
    <t>Laporan Keuangan Festival BAM 2021</t>
  </si>
  <si>
    <t>Kekurangan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</si>
</sst>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41" formatCode="_(* #,##0_);_(* \(#,##0\);_(* &quot;-&quot;_);_(@_)"/>
    <numFmt numFmtId="164" formatCode="_-[$Rp-421]* #,##0.00_-;\-[$Rp-421]* #,##0.00_-;_-[$Rp-421]* &quot;-&quot;??_-;_-@_-"/>
    <numFmt numFmtId="165" formatCode="[$-409]d/mmm/yyyy;@"/>
  </numFmts>
  <fonts count="12" x14ac:knownFonts="1">
    <font>
      <sz val="11"/>
      <color theme="1"/>
      <name val="Calibri"/>
      <family val="2"/>
      <scheme val="minor"/>
    </font>
    <font>
      <sz val="11"/>
      <color rgb="FFFF0000"/>
      <name val="Calibri"/>
      <family val="2"/>
      <scheme val="minor"/>
    </font>
    <font>
      <b/>
      <sz val="12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  <font>
      <sz val="8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1"/>
      <name val="Calibri"/>
      <family val="2"/>
      <charset val="1"/>
      <scheme val="minor"/>
    </font>
    <font>
      <b/>
      <sz val="11"/>
      <color theme="1"/>
      <name val="Calibri"/>
      <family val="2"/>
      <charset val="163"/>
      <scheme val="minor"/>
    </font>
    <font>
      <sz val="11"/>
      <color theme="0"/>
      <name val="Calibri"/>
      <family val="2"/>
      <charset val="1"/>
      <scheme val="minor"/>
    </font>
    <font>
      <sz val="8"/>
      <color theme="1"/>
      <name val="Calibri"/>
      <family val="2"/>
      <charset val="1"/>
      <scheme val="minor"/>
    </font>
    <font>
      <b/>
      <sz val="18"/>
      <color theme="1"/>
      <name val="Calibri"/>
      <family val="2"/>
      <scheme val="minor"/>
    </font>
    <font>
      <b/>
      <sz val="16"/>
      <color theme="1"/>
      <name val="Calibri"/>
      <family val="2"/>
      <scheme val="minor"/>
    </font>
  </fonts>
  <fills count="8">
    <fill>
      <patternFill patternType="none"/>
    </fill>
    <fill>
      <patternFill patternType="gray125"/>
    </fill>
    <fill>
      <patternFill patternType="solid">
        <fgColor theme="9" tint="0.79998168889431442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theme="8" tint="0.39997558519241921"/>
        <bgColor indexed="64"/>
      </patternFill>
    </fill>
  </fills>
  <borders count="16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</borders>
  <cellStyleXfs count="3">
    <xf numFmtId="0" fontId="0" fillId="0" borderId="0"/>
    <xf numFmtId="0" fontId="6" fillId="0" borderId="0"/>
    <xf numFmtId="41" fontId="6" fillId="0" borderId="0" applyFont="0" applyFill="0" applyBorder="0" applyAlignment="0" applyProtection="0"/>
  </cellStyleXfs>
  <cellXfs count="129">
    <xf numFmtId="0" fontId="0" fillId="0" borderId="0" xfId="0"/>
    <xf numFmtId="0" fontId="0" fillId="0" borderId="0" xfId="0" applyAlignment="1">
      <alignment vertical="center"/>
    </xf>
    <xf numFmtId="0" fontId="0" fillId="0" borderId="0" xfId="0" applyAlignment="1">
      <alignment horizontal="center" vertical="center"/>
    </xf>
    <xf numFmtId="0" fontId="2" fillId="0" borderId="0" xfId="0" applyFont="1" applyAlignment="1">
      <alignment vertical="center"/>
    </xf>
    <xf numFmtId="0" fontId="1" fillId="0" borderId="0" xfId="0" applyFont="1" applyAlignment="1">
      <alignment vertical="center"/>
    </xf>
    <xf numFmtId="2" fontId="0" fillId="0" borderId="0" xfId="0" applyNumberFormat="1" applyAlignment="1">
      <alignment horizontal="center" vertical="center"/>
    </xf>
    <xf numFmtId="0" fontId="0" fillId="0" borderId="1" xfId="0" applyBorder="1" applyAlignment="1">
      <alignment horizontal="center" vertical="center"/>
    </xf>
    <xf numFmtId="0" fontId="0" fillId="0" borderId="1" xfId="0" applyBorder="1" applyAlignment="1">
      <alignment horizontal="center" vertical="center"/>
    </xf>
    <xf numFmtId="0" fontId="0" fillId="0" borderId="1" xfId="0" applyBorder="1" applyAlignment="1">
      <alignment vertical="center"/>
    </xf>
    <xf numFmtId="0" fontId="1" fillId="0" borderId="1" xfId="0" applyFont="1" applyBorder="1" applyAlignment="1">
      <alignment horizontal="left" vertical="center"/>
    </xf>
    <xf numFmtId="0" fontId="0" fillId="0" borderId="1" xfId="0" applyBorder="1" applyAlignment="1">
      <alignment horizontal="left" vertical="center"/>
    </xf>
    <xf numFmtId="0" fontId="0" fillId="0" borderId="5" xfId="0" applyBorder="1" applyAlignment="1">
      <alignment vertical="center"/>
    </xf>
    <xf numFmtId="0" fontId="0" fillId="0" borderId="0" xfId="0" quotePrefix="1" applyAlignment="1">
      <alignment horizontal="center" vertical="center"/>
    </xf>
    <xf numFmtId="0" fontId="0" fillId="0" borderId="0" xfId="0" applyAlignment="1">
      <alignment horizontal="right" vertical="center"/>
    </xf>
    <xf numFmtId="0" fontId="0" fillId="0" borderId="0" xfId="0" applyAlignment="1">
      <alignment horizontal="right" vertical="center" wrapText="1"/>
    </xf>
    <xf numFmtId="0" fontId="3" fillId="2" borderId="0" xfId="0" applyFont="1" applyFill="1" applyAlignment="1">
      <alignment horizontal="center" vertical="center"/>
    </xf>
    <xf numFmtId="0" fontId="0" fillId="0" borderId="1" xfId="0" applyBorder="1" applyAlignment="1">
      <alignment horizontal="center" vertical="center"/>
    </xf>
    <xf numFmtId="0" fontId="0" fillId="0" borderId="0" xfId="0" applyAlignment="1">
      <alignment horizontal="center" vertical="center"/>
    </xf>
    <xf numFmtId="0" fontId="0" fillId="0" borderId="0" xfId="0" applyAlignment="1">
      <alignment horizontal="center"/>
    </xf>
    <xf numFmtId="0" fontId="0" fillId="0" borderId="1" xfId="0" quotePrefix="1" applyBorder="1" applyAlignment="1">
      <alignment horizontal="center" vertical="center"/>
    </xf>
    <xf numFmtId="0" fontId="6" fillId="0" borderId="0" xfId="1"/>
    <xf numFmtId="0" fontId="6" fillId="0" borderId="0" xfId="1" applyAlignment="1">
      <alignment horizontal="center" vertical="center"/>
    </xf>
    <xf numFmtId="0" fontId="7" fillId="0" borderId="0" xfId="1" applyFont="1" applyAlignment="1">
      <alignment horizontal="center"/>
    </xf>
    <xf numFmtId="0" fontId="6" fillId="0" borderId="0" xfId="1" applyAlignment="1">
      <alignment horizontal="center"/>
    </xf>
    <xf numFmtId="41" fontId="7" fillId="0" borderId="0" xfId="2" applyFont="1"/>
    <xf numFmtId="0" fontId="7" fillId="0" borderId="0" xfId="1" applyFont="1"/>
    <xf numFmtId="41" fontId="0" fillId="0" borderId="0" xfId="2" applyFont="1"/>
    <xf numFmtId="41" fontId="8" fillId="0" borderId="0" xfId="2" applyFont="1"/>
    <xf numFmtId="0" fontId="7" fillId="0" borderId="0" xfId="1" applyFont="1" applyAlignment="1">
      <alignment horizontal="center" vertical="center"/>
    </xf>
    <xf numFmtId="0" fontId="9" fillId="0" borderId="0" xfId="1" applyFont="1" applyAlignment="1">
      <alignment horizontal="center" vertical="center"/>
    </xf>
    <xf numFmtId="3" fontId="9" fillId="0" borderId="0" xfId="1" applyNumberFormat="1" applyFont="1" applyAlignment="1">
      <alignment horizontal="center" vertical="center"/>
    </xf>
    <xf numFmtId="0" fontId="7" fillId="0" borderId="0" xfId="1" applyFont="1" applyAlignment="1">
      <alignment horizontal="right"/>
    </xf>
    <xf numFmtId="41" fontId="0" fillId="0" borderId="0" xfId="2" applyFont="1" applyFill="1"/>
    <xf numFmtId="164" fontId="0" fillId="0" borderId="0" xfId="0" applyNumberFormat="1"/>
    <xf numFmtId="0" fontId="5" fillId="0" borderId="0" xfId="0" applyFont="1" applyAlignment="1">
      <alignment horizontal="right"/>
    </xf>
    <xf numFmtId="164" fontId="5" fillId="3" borderId="1" xfId="0" applyNumberFormat="1" applyFont="1" applyFill="1" applyBorder="1"/>
    <xf numFmtId="0" fontId="5" fillId="3" borderId="1" xfId="0" applyFont="1" applyFill="1" applyBorder="1"/>
    <xf numFmtId="164" fontId="0" fillId="0" borderId="1" xfId="0" applyNumberFormat="1" applyBorder="1"/>
    <xf numFmtId="0" fontId="0" fillId="0" borderId="1" xfId="0" applyBorder="1"/>
    <xf numFmtId="164" fontId="5" fillId="4" borderId="0" xfId="0" applyNumberFormat="1" applyFont="1" applyFill="1"/>
    <xf numFmtId="0" fontId="5" fillId="4" borderId="0" xfId="0" applyFont="1" applyFill="1" applyAlignment="1">
      <alignment horizontal="right"/>
    </xf>
    <xf numFmtId="164" fontId="5" fillId="4" borderId="1" xfId="0" applyNumberFormat="1" applyFont="1" applyFill="1" applyBorder="1"/>
    <xf numFmtId="0" fontId="5" fillId="4" borderId="1" xfId="0" applyFont="1" applyFill="1" applyBorder="1" applyAlignment="1">
      <alignment horizontal="right"/>
    </xf>
    <xf numFmtId="164" fontId="0" fillId="5" borderId="1" xfId="0" applyNumberFormat="1" applyFill="1" applyBorder="1"/>
    <xf numFmtId="0" fontId="0" fillId="5" borderId="1" xfId="0" applyFill="1" applyBorder="1"/>
    <xf numFmtId="0" fontId="5" fillId="6" borderId="0" xfId="0" applyFont="1" applyFill="1"/>
    <xf numFmtId="0" fontId="5" fillId="4" borderId="1" xfId="0" applyFont="1" applyFill="1" applyBorder="1" applyAlignment="1">
      <alignment horizontal="center"/>
    </xf>
    <xf numFmtId="0" fontId="0" fillId="0" borderId="1" xfId="0" applyBorder="1" applyAlignment="1">
      <alignment horizontal="center"/>
    </xf>
    <xf numFmtId="0" fontId="0" fillId="0" borderId="1" xfId="0" quotePrefix="1" applyBorder="1" applyAlignment="1">
      <alignment horizontal="center"/>
    </xf>
    <xf numFmtId="0" fontId="5" fillId="6" borderId="1" xfId="0" applyFont="1" applyFill="1" applyBorder="1" applyAlignment="1">
      <alignment horizontal="center"/>
    </xf>
    <xf numFmtId="0" fontId="5" fillId="6" borderId="1" xfId="0" applyFont="1" applyFill="1" applyBorder="1"/>
    <xf numFmtId="0" fontId="5" fillId="0" borderId="0" xfId="0" applyFont="1" applyAlignment="1">
      <alignment horizontal="left"/>
    </xf>
    <xf numFmtId="165" fontId="0" fillId="0" borderId="1" xfId="0" applyNumberFormat="1" applyBorder="1" applyAlignment="1">
      <alignment horizontal="center" vertical="center"/>
    </xf>
    <xf numFmtId="164" fontId="5" fillId="7" borderId="0" xfId="0" applyNumberFormat="1" applyFont="1" applyFill="1"/>
    <xf numFmtId="0" fontId="5" fillId="0" borderId="0" xfId="0" applyFont="1"/>
    <xf numFmtId="0" fontId="0" fillId="0" borderId="0" xfId="0" applyAlignment="1">
      <alignment horizontal="center" vertical="center"/>
    </xf>
    <xf numFmtId="0" fontId="2" fillId="2" borderId="0" xfId="0" applyFont="1" applyFill="1" applyAlignment="1">
      <alignment horizontal="center" vertical="center" wrapText="1"/>
    </xf>
    <xf numFmtId="0" fontId="5" fillId="2" borderId="0" xfId="0" applyFont="1" applyFill="1" applyAlignment="1">
      <alignment horizontal="center" vertical="center"/>
    </xf>
    <xf numFmtId="0" fontId="0" fillId="0" borderId="1" xfId="0" applyBorder="1" applyAlignment="1">
      <alignment horizontal="left" vertical="center"/>
    </xf>
    <xf numFmtId="0" fontId="1" fillId="0" borderId="1" xfId="0" applyFont="1" applyBorder="1" applyAlignment="1">
      <alignment horizontal="left" vertical="center"/>
    </xf>
    <xf numFmtId="0" fontId="1" fillId="0" borderId="2" xfId="0" applyFont="1" applyBorder="1" applyAlignment="1">
      <alignment horizontal="left" vertical="center"/>
    </xf>
    <xf numFmtId="0" fontId="1" fillId="0" borderId="4" xfId="0" applyFont="1" applyBorder="1" applyAlignment="1">
      <alignment horizontal="left" vertical="center"/>
    </xf>
    <xf numFmtId="0" fontId="0" fillId="0" borderId="1" xfId="0" applyBorder="1" applyAlignment="1">
      <alignment horizontal="center" vertical="center"/>
    </xf>
    <xf numFmtId="0" fontId="1" fillId="0" borderId="2" xfId="0" applyFont="1" applyBorder="1" applyAlignment="1">
      <alignment horizontal="center" vertical="center"/>
    </xf>
    <xf numFmtId="0" fontId="1" fillId="0" borderId="4" xfId="0" applyFont="1" applyBorder="1" applyAlignment="1">
      <alignment horizontal="center" vertical="center"/>
    </xf>
    <xf numFmtId="0" fontId="0" fillId="0" borderId="0" xfId="0" applyAlignment="1">
      <alignment horizontal="left" vertical="center"/>
    </xf>
    <xf numFmtId="0" fontId="0" fillId="0" borderId="1" xfId="0" applyBorder="1" applyAlignment="1">
      <alignment horizontal="left" vertical="center" wrapText="1"/>
    </xf>
    <xf numFmtId="0" fontId="0" fillId="0" borderId="8" xfId="0" applyBorder="1" applyAlignment="1">
      <alignment horizontal="center" vertical="center"/>
    </xf>
    <xf numFmtId="0" fontId="0" fillId="0" borderId="9" xfId="0" applyBorder="1" applyAlignment="1">
      <alignment horizontal="center" vertical="center"/>
    </xf>
    <xf numFmtId="0" fontId="0" fillId="0" borderId="10" xfId="0" applyBorder="1" applyAlignment="1">
      <alignment horizontal="center" vertical="center"/>
    </xf>
    <xf numFmtId="0" fontId="0" fillId="0" borderId="2" xfId="0" applyBorder="1" applyAlignment="1">
      <alignment horizontal="left" vertical="center"/>
    </xf>
    <xf numFmtId="0" fontId="0" fillId="0" borderId="4" xfId="0" applyBorder="1" applyAlignment="1">
      <alignment horizontal="left" vertical="center"/>
    </xf>
    <xf numFmtId="0" fontId="0" fillId="0" borderId="2" xfId="0" applyBorder="1" applyAlignment="1">
      <alignment horizontal="center" vertical="center"/>
    </xf>
    <xf numFmtId="0" fontId="0" fillId="0" borderId="3" xfId="0" applyBorder="1" applyAlignment="1">
      <alignment horizontal="center" vertical="center"/>
    </xf>
    <xf numFmtId="0" fontId="0" fillId="0" borderId="4" xfId="0" applyBorder="1" applyAlignment="1">
      <alignment horizontal="center" vertical="center"/>
    </xf>
    <xf numFmtId="0" fontId="0" fillId="0" borderId="1" xfId="0" applyBorder="1" applyAlignment="1">
      <alignment horizontal="center" vertical="center" wrapText="1"/>
    </xf>
    <xf numFmtId="2" fontId="0" fillId="0" borderId="1" xfId="0" applyNumberFormat="1" applyBorder="1" applyAlignment="1">
      <alignment horizontal="center" vertical="center"/>
    </xf>
    <xf numFmtId="2" fontId="1" fillId="0" borderId="1" xfId="0" applyNumberFormat="1" applyFont="1" applyBorder="1" applyAlignment="1">
      <alignment horizontal="center" vertical="center"/>
    </xf>
    <xf numFmtId="0" fontId="1" fillId="0" borderId="1" xfId="0" applyFont="1" applyBorder="1" applyAlignment="1">
      <alignment horizontal="center" vertical="center"/>
    </xf>
    <xf numFmtId="0" fontId="1" fillId="0" borderId="5" xfId="0" applyFont="1" applyBorder="1" applyAlignment="1">
      <alignment horizontal="center" vertical="center" wrapText="1"/>
    </xf>
    <xf numFmtId="0" fontId="1" fillId="0" borderId="6" xfId="0" applyFont="1" applyBorder="1" applyAlignment="1">
      <alignment horizontal="center" vertical="center" wrapText="1"/>
    </xf>
    <xf numFmtId="0" fontId="1" fillId="0" borderId="7" xfId="0" applyFont="1" applyBorder="1" applyAlignment="1">
      <alignment horizontal="center" vertical="center" wrapText="1"/>
    </xf>
    <xf numFmtId="0" fontId="1" fillId="0" borderId="5" xfId="0" applyFont="1" applyBorder="1" applyAlignment="1">
      <alignment horizontal="center" vertical="center"/>
    </xf>
    <xf numFmtId="0" fontId="1" fillId="0" borderId="6" xfId="0" applyFont="1" applyBorder="1" applyAlignment="1">
      <alignment horizontal="center" vertical="center"/>
    </xf>
    <xf numFmtId="0" fontId="1" fillId="0" borderId="7" xfId="0" applyFont="1" applyBorder="1" applyAlignment="1">
      <alignment horizontal="center" vertical="center"/>
    </xf>
    <xf numFmtId="0" fontId="3" fillId="2" borderId="0" xfId="0" applyFont="1" applyFill="1" applyAlignment="1">
      <alignment horizontal="center" vertical="center"/>
    </xf>
    <xf numFmtId="2" fontId="0" fillId="0" borderId="1" xfId="0" quotePrefix="1" applyNumberFormat="1" applyBorder="1" applyAlignment="1">
      <alignment horizontal="center" vertical="center"/>
    </xf>
    <xf numFmtId="0" fontId="0" fillId="0" borderId="5" xfId="0" applyBorder="1" applyAlignment="1">
      <alignment horizontal="center" vertical="center"/>
    </xf>
    <xf numFmtId="0" fontId="0" fillId="0" borderId="6" xfId="0" applyBorder="1" applyAlignment="1">
      <alignment horizontal="center" vertical="center"/>
    </xf>
    <xf numFmtId="0" fontId="0" fillId="0" borderId="7" xfId="0" applyBorder="1" applyAlignment="1">
      <alignment horizontal="center" vertical="center"/>
    </xf>
    <xf numFmtId="2" fontId="1" fillId="0" borderId="5" xfId="0" applyNumberFormat="1" applyFont="1" applyBorder="1" applyAlignment="1">
      <alignment horizontal="center" vertical="center"/>
    </xf>
    <xf numFmtId="2" fontId="1" fillId="0" borderId="6" xfId="0" applyNumberFormat="1" applyFont="1" applyBorder="1" applyAlignment="1">
      <alignment horizontal="center" vertical="center"/>
    </xf>
    <xf numFmtId="2" fontId="1" fillId="0" borderId="7" xfId="0" applyNumberFormat="1" applyFont="1" applyBorder="1" applyAlignment="1">
      <alignment horizontal="center" vertical="center"/>
    </xf>
    <xf numFmtId="0" fontId="1" fillId="0" borderId="8" xfId="0" applyFont="1" applyBorder="1" applyAlignment="1">
      <alignment horizontal="center" vertical="center" wrapText="1"/>
    </xf>
    <xf numFmtId="0" fontId="1" fillId="0" borderId="9" xfId="0" applyFont="1" applyBorder="1" applyAlignment="1">
      <alignment horizontal="center" vertical="center" wrapText="1"/>
    </xf>
    <xf numFmtId="0" fontId="1" fillId="0" borderId="10" xfId="0" applyFont="1" applyBorder="1" applyAlignment="1">
      <alignment horizontal="center" vertical="center" wrapText="1"/>
    </xf>
    <xf numFmtId="0" fontId="1" fillId="0" borderId="11" xfId="0" applyFont="1" applyBorder="1" applyAlignment="1">
      <alignment horizontal="center" vertical="center" wrapText="1"/>
    </xf>
    <xf numFmtId="0" fontId="1" fillId="0" borderId="0" xfId="0" applyFont="1" applyBorder="1" applyAlignment="1">
      <alignment horizontal="center" vertical="center" wrapText="1"/>
    </xf>
    <xf numFmtId="0" fontId="1" fillId="0" borderId="12" xfId="0" applyFont="1" applyBorder="1" applyAlignment="1">
      <alignment horizontal="center" vertical="center" wrapText="1"/>
    </xf>
    <xf numFmtId="0" fontId="1" fillId="0" borderId="13" xfId="0" applyFont="1" applyBorder="1" applyAlignment="1">
      <alignment horizontal="center" vertical="center" wrapText="1"/>
    </xf>
    <xf numFmtId="0" fontId="1" fillId="0" borderId="14" xfId="0" applyFont="1" applyBorder="1" applyAlignment="1">
      <alignment horizontal="center" vertical="center" wrapText="1"/>
    </xf>
    <xf numFmtId="0" fontId="1" fillId="0" borderId="15" xfId="0" applyFont="1" applyBorder="1" applyAlignment="1">
      <alignment horizontal="center" vertical="center" wrapText="1"/>
    </xf>
    <xf numFmtId="0" fontId="0" fillId="0" borderId="5" xfId="0" applyBorder="1" applyAlignment="1">
      <alignment horizontal="left" vertical="center"/>
    </xf>
    <xf numFmtId="2" fontId="1" fillId="0" borderId="1" xfId="0" quotePrefix="1" applyNumberFormat="1" applyFont="1" applyBorder="1" applyAlignment="1">
      <alignment horizontal="center" vertical="center"/>
    </xf>
    <xf numFmtId="0" fontId="0" fillId="0" borderId="11" xfId="0" applyBorder="1" applyAlignment="1">
      <alignment horizontal="center" vertical="center"/>
    </xf>
    <xf numFmtId="0" fontId="0" fillId="0" borderId="0" xfId="0" applyBorder="1" applyAlignment="1">
      <alignment horizontal="center" vertical="center"/>
    </xf>
    <xf numFmtId="0" fontId="0" fillId="0" borderId="12" xfId="0" applyBorder="1" applyAlignment="1">
      <alignment horizontal="center" vertical="center"/>
    </xf>
    <xf numFmtId="0" fontId="0" fillId="0" borderId="13" xfId="0" applyBorder="1" applyAlignment="1">
      <alignment horizontal="center" vertical="center"/>
    </xf>
    <xf numFmtId="0" fontId="0" fillId="0" borderId="14" xfId="0" applyBorder="1" applyAlignment="1">
      <alignment horizontal="center" vertical="center"/>
    </xf>
    <xf numFmtId="0" fontId="0" fillId="0" borderId="15" xfId="0" applyBorder="1" applyAlignment="1">
      <alignment horizontal="center" vertical="center"/>
    </xf>
    <xf numFmtId="2" fontId="0" fillId="0" borderId="5" xfId="0" applyNumberFormat="1" applyBorder="1" applyAlignment="1">
      <alignment horizontal="center" vertical="center"/>
    </xf>
    <xf numFmtId="2" fontId="0" fillId="0" borderId="6" xfId="0" applyNumberFormat="1" applyBorder="1" applyAlignment="1">
      <alignment horizontal="center" vertical="center"/>
    </xf>
    <xf numFmtId="2" fontId="0" fillId="0" borderId="7" xfId="0" applyNumberFormat="1" applyBorder="1" applyAlignment="1">
      <alignment horizontal="center" vertical="center"/>
    </xf>
    <xf numFmtId="0" fontId="7" fillId="0" borderId="0" xfId="1" applyFont="1" applyAlignment="1">
      <alignment horizontal="center" vertical="center"/>
    </xf>
    <xf numFmtId="0" fontId="6" fillId="0" borderId="0" xfId="1" applyAlignment="1">
      <alignment horizontal="center"/>
    </xf>
    <xf numFmtId="0" fontId="7" fillId="0" borderId="0" xfId="1" applyFont="1" applyAlignment="1">
      <alignment horizontal="center"/>
    </xf>
    <xf numFmtId="0" fontId="5" fillId="4" borderId="0" xfId="0" applyFont="1" applyFill="1" applyAlignment="1">
      <alignment horizontal="center"/>
    </xf>
    <xf numFmtId="0" fontId="5" fillId="7" borderId="0" xfId="0" applyFont="1" applyFill="1" applyAlignment="1">
      <alignment horizontal="right"/>
    </xf>
    <xf numFmtId="0" fontId="10" fillId="6" borderId="0" xfId="0" applyFont="1" applyFill="1" applyAlignment="1">
      <alignment horizontal="center" vertical="center"/>
    </xf>
    <xf numFmtId="15" fontId="0" fillId="0" borderId="1" xfId="0" applyNumberFormat="1" applyBorder="1" applyAlignment="1">
      <alignment horizontal="center" vertical="center"/>
    </xf>
    <xf numFmtId="165" fontId="0" fillId="0" borderId="1" xfId="0" applyNumberFormat="1" applyBorder="1" applyAlignment="1">
      <alignment horizontal="center" vertical="center"/>
    </xf>
    <xf numFmtId="0" fontId="0" fillId="0" borderId="2" xfId="0" applyBorder="1" applyAlignment="1">
      <alignment horizontal="center"/>
    </xf>
    <xf numFmtId="0" fontId="0" fillId="0" borderId="3" xfId="0" applyBorder="1" applyAlignment="1">
      <alignment horizontal="center"/>
    </xf>
    <xf numFmtId="0" fontId="0" fillId="0" borderId="4" xfId="0" applyBorder="1" applyAlignment="1">
      <alignment horizontal="center"/>
    </xf>
    <xf numFmtId="0" fontId="5" fillId="6" borderId="1" xfId="0" applyFont="1" applyFill="1" applyBorder="1" applyAlignment="1">
      <alignment horizontal="center"/>
    </xf>
    <xf numFmtId="0" fontId="0" fillId="0" borderId="1" xfId="0" applyBorder="1" applyAlignment="1">
      <alignment horizontal="center"/>
    </xf>
    <xf numFmtId="0" fontId="5" fillId="4" borderId="1" xfId="0" applyFont="1" applyFill="1" applyBorder="1" applyAlignment="1">
      <alignment horizontal="right"/>
    </xf>
    <xf numFmtId="0" fontId="11" fillId="6" borderId="0" xfId="0" applyFont="1" applyFill="1" applyAlignment="1">
      <alignment horizontal="center" vertical="center"/>
    </xf>
    <xf numFmtId="0" fontId="5" fillId="6" borderId="0" xfId="0" applyFont="1" applyFill="1" applyAlignment="1">
      <alignment horizontal="center"/>
    </xf>
  </cellXfs>
  <cellStyles count="3">
    <cellStyle name="Comma [0] 2" xfId="2" xr:uid="{DAB259E3-872C-4534-9B02-C58191D8C4C0}"/>
    <cellStyle name="Normal" xfId="0" builtinId="0"/>
    <cellStyle name="Normal 2" xfId="1" xr:uid="{1EFA676A-8AB7-46D7-84AA-52A0231336D9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calcChain" Target="calcChain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E58C546-DD88-4AF5-915D-E6A8E697BB32}">
  <dimension ref="A1:ED36"/>
  <sheetViews>
    <sheetView workbookViewId="0">
      <pane xSplit="1" ySplit="6" topLeftCell="B7" activePane="bottomRight" state="frozen"/>
      <selection pane="topRight" activeCell="B1" sqref="B1"/>
      <selection pane="bottomLeft" activeCell="A7" sqref="A7"/>
      <selection pane="bottomRight" activeCell="K31" sqref="K31"/>
    </sheetView>
  </sheetViews>
  <sheetFormatPr defaultRowHeight="20.100000000000001" customHeight="1" x14ac:dyDescent="0.25"/>
  <cols>
    <col min="1" max="1" width="30.5703125" style="13" customWidth="1"/>
    <col min="2" max="134" width="3.7109375" style="2" customWidth="1"/>
    <col min="135" max="16384" width="9.140625" style="2"/>
  </cols>
  <sheetData>
    <row r="1" spans="1:134" ht="20.25" customHeight="1" x14ac:dyDescent="0.25">
      <c r="A1" s="56" t="s">
        <v>173</v>
      </c>
    </row>
    <row r="2" spans="1:134" ht="24" customHeight="1" x14ac:dyDescent="0.25">
      <c r="A2" s="57"/>
    </row>
    <row r="3" spans="1:134" ht="15" x14ac:dyDescent="0.25"/>
    <row r="4" spans="1:134" ht="26.25" customHeight="1" x14ac:dyDescent="0.25">
      <c r="A4" s="55" t="s">
        <v>96</v>
      </c>
      <c r="B4" s="55" t="s">
        <v>167</v>
      </c>
      <c r="C4" s="55"/>
      <c r="D4" s="55"/>
      <c r="E4" s="55"/>
      <c r="F4" s="55"/>
      <c r="G4" s="55"/>
      <c r="H4" s="55"/>
      <c r="I4" s="55"/>
      <c r="J4" s="55" t="s">
        <v>168</v>
      </c>
      <c r="K4" s="55"/>
      <c r="L4" s="55"/>
      <c r="M4" s="55"/>
      <c r="N4" s="55"/>
      <c r="O4" s="55"/>
      <c r="P4" s="55"/>
      <c r="Q4" s="55"/>
      <c r="R4" s="55"/>
      <c r="S4" s="55"/>
      <c r="T4" s="55"/>
      <c r="U4" s="55"/>
      <c r="V4" s="55"/>
      <c r="W4" s="55"/>
      <c r="X4" s="55"/>
      <c r="Y4" s="55"/>
      <c r="Z4" s="55"/>
      <c r="AA4" s="55"/>
      <c r="AB4" s="55"/>
      <c r="AC4" s="55"/>
      <c r="AD4" s="55"/>
      <c r="AE4" s="55"/>
      <c r="AF4" s="55"/>
      <c r="AG4" s="55"/>
      <c r="AH4" s="55"/>
      <c r="AI4" s="55"/>
      <c r="AJ4" s="55"/>
      <c r="AK4" s="55"/>
      <c r="AL4" s="55"/>
      <c r="AM4" s="55"/>
      <c r="AN4" s="55"/>
      <c r="AO4" s="55"/>
      <c r="AP4" s="55"/>
      <c r="AQ4" s="55"/>
      <c r="AR4" s="55"/>
      <c r="AS4" s="55"/>
      <c r="AT4" s="55"/>
      <c r="AU4" s="55"/>
      <c r="AV4" s="55"/>
      <c r="AW4" s="55"/>
      <c r="AX4" s="55"/>
      <c r="AY4" s="55"/>
      <c r="AZ4" s="55"/>
      <c r="BA4" s="55"/>
      <c r="BB4" s="55"/>
      <c r="BC4" s="55"/>
      <c r="BD4" s="55"/>
      <c r="BE4" s="55"/>
      <c r="BF4" s="55"/>
      <c r="BG4" s="55"/>
      <c r="BH4" s="55"/>
      <c r="BI4" s="55"/>
      <c r="BJ4" s="55"/>
      <c r="BK4" s="55"/>
      <c r="BL4" s="55"/>
      <c r="BM4" s="55"/>
      <c r="BN4" s="55"/>
      <c r="BO4" s="55"/>
      <c r="BP4" s="55"/>
      <c r="BQ4" s="55"/>
      <c r="BR4" s="55" t="s">
        <v>172</v>
      </c>
      <c r="BS4" s="55"/>
      <c r="BT4" s="55"/>
      <c r="BU4" s="55"/>
      <c r="BV4" s="55"/>
      <c r="BW4" s="55"/>
      <c r="BX4" s="55"/>
      <c r="BY4" s="55"/>
      <c r="BZ4" s="55"/>
      <c r="CA4" s="55"/>
      <c r="CB4" s="55"/>
      <c r="CC4" s="55"/>
      <c r="CD4" s="55"/>
      <c r="CE4" s="55"/>
      <c r="CF4" s="55"/>
      <c r="CG4" s="55"/>
      <c r="CH4" s="55"/>
      <c r="CI4" s="55"/>
      <c r="CJ4" s="55"/>
      <c r="CK4" s="55"/>
      <c r="CL4" s="55"/>
      <c r="CM4" s="55"/>
      <c r="CN4" s="55"/>
      <c r="CO4" s="55"/>
      <c r="CP4" s="55"/>
      <c r="CQ4" s="55"/>
      <c r="CR4" s="55"/>
      <c r="CS4" s="55"/>
      <c r="CT4" s="55"/>
      <c r="CU4" s="55"/>
      <c r="CV4" s="55"/>
      <c r="CW4" s="55"/>
      <c r="CX4" s="55"/>
      <c r="CY4" s="55"/>
      <c r="CZ4" s="55"/>
      <c r="DA4" s="55" t="s">
        <v>171</v>
      </c>
      <c r="DB4" s="55"/>
      <c r="DC4" s="55"/>
      <c r="DD4" s="55"/>
      <c r="DE4" s="55"/>
      <c r="DF4" s="55"/>
      <c r="DG4" s="55"/>
      <c r="DH4" s="55"/>
      <c r="DI4" s="55"/>
      <c r="DJ4" s="55"/>
      <c r="DK4" s="55"/>
      <c r="DL4" s="55"/>
      <c r="DM4" s="55"/>
      <c r="DN4" s="55"/>
      <c r="DO4" s="55"/>
      <c r="DP4" s="55"/>
      <c r="DQ4" s="55"/>
      <c r="DR4" s="55"/>
      <c r="DS4" s="55"/>
      <c r="DT4" s="55"/>
      <c r="DU4" s="55"/>
      <c r="DV4" s="55"/>
      <c r="DW4" s="55"/>
      <c r="DX4" s="55"/>
      <c r="DY4" s="55"/>
      <c r="DZ4" s="55"/>
      <c r="EA4" s="55"/>
      <c r="EB4" s="55"/>
      <c r="EC4" s="55"/>
      <c r="ED4" s="55"/>
    </row>
    <row r="5" spans="1:134" ht="15" x14ac:dyDescent="0.25">
      <c r="A5" s="55"/>
      <c r="B5" s="55" t="s">
        <v>127</v>
      </c>
      <c r="C5" s="55"/>
      <c r="D5" s="55"/>
      <c r="E5" s="55"/>
      <c r="F5" s="55"/>
      <c r="G5" s="55"/>
      <c r="H5" s="55"/>
      <c r="I5" s="55"/>
      <c r="J5" s="55" t="s">
        <v>128</v>
      </c>
      <c r="K5" s="55"/>
      <c r="L5" s="55"/>
      <c r="M5" s="55"/>
      <c r="N5" s="55"/>
      <c r="O5" s="55"/>
      <c r="P5" s="55"/>
      <c r="Q5" s="55"/>
      <c r="R5" s="55"/>
      <c r="S5" s="55"/>
      <c r="T5" s="55"/>
      <c r="U5" s="55"/>
      <c r="V5" s="55"/>
      <c r="W5" s="55"/>
      <c r="X5" s="55"/>
      <c r="Y5" s="55"/>
      <c r="Z5" s="55"/>
      <c r="AA5" s="55"/>
      <c r="AB5" s="55"/>
      <c r="AC5" s="55"/>
      <c r="AD5" s="55"/>
      <c r="AE5" s="55"/>
      <c r="AF5" s="55"/>
      <c r="AG5" s="55"/>
      <c r="AH5" s="55"/>
      <c r="AI5" s="55"/>
      <c r="AJ5" s="55"/>
      <c r="AK5" s="55"/>
      <c r="AL5" s="55"/>
      <c r="AM5" s="55"/>
      <c r="AN5" s="55" t="s">
        <v>129</v>
      </c>
      <c r="AO5" s="55"/>
      <c r="AP5" s="55"/>
      <c r="AQ5" s="55"/>
      <c r="AR5" s="55"/>
      <c r="AS5" s="55"/>
      <c r="AT5" s="55"/>
      <c r="AU5" s="55"/>
      <c r="AV5" s="55"/>
      <c r="AW5" s="55"/>
      <c r="AX5" s="55"/>
      <c r="AY5" s="55"/>
      <c r="AZ5" s="55"/>
      <c r="BA5" s="55"/>
      <c r="BB5" s="55"/>
      <c r="BC5" s="55"/>
      <c r="BD5" s="55"/>
      <c r="BE5" s="55"/>
      <c r="BF5" s="55"/>
      <c r="BG5" s="55"/>
      <c r="BH5" s="55"/>
      <c r="BI5" s="55"/>
      <c r="BJ5" s="55"/>
      <c r="BK5" s="55"/>
      <c r="BL5" s="55"/>
      <c r="BM5" s="55"/>
      <c r="BN5" s="55"/>
      <c r="BO5" s="55"/>
      <c r="BP5" s="55"/>
      <c r="BQ5" s="55"/>
      <c r="BR5" s="55" t="s">
        <v>170</v>
      </c>
      <c r="BS5" s="55"/>
      <c r="BT5" s="55"/>
      <c r="BU5" s="55"/>
      <c r="BV5" s="55"/>
      <c r="BW5" s="55"/>
      <c r="BX5" s="55"/>
      <c r="BY5" s="55"/>
      <c r="BZ5" s="55"/>
      <c r="CA5" s="55"/>
      <c r="CB5" s="55"/>
      <c r="CC5" s="55"/>
      <c r="CD5" s="55"/>
      <c r="CE5" s="55"/>
      <c r="CF5" s="55"/>
      <c r="CG5" s="55"/>
      <c r="CH5" s="55"/>
      <c r="CI5" s="55"/>
      <c r="CJ5" s="55"/>
      <c r="CK5" s="55"/>
      <c r="CL5" s="55"/>
      <c r="CM5" s="55"/>
      <c r="CN5" s="55"/>
      <c r="CO5" s="55"/>
      <c r="CP5" s="55"/>
      <c r="CQ5" s="55"/>
      <c r="CR5" s="55"/>
      <c r="CS5" s="55"/>
      <c r="CT5" s="55"/>
      <c r="CU5" s="55"/>
      <c r="CV5" s="55"/>
      <c r="CW5" s="55"/>
      <c r="CX5" s="55"/>
      <c r="CY5" s="55"/>
      <c r="CZ5" s="55"/>
      <c r="DA5" s="55" t="s">
        <v>169</v>
      </c>
      <c r="DB5" s="55"/>
      <c r="DC5" s="55"/>
      <c r="DD5" s="55"/>
      <c r="DE5" s="55"/>
      <c r="DF5" s="55"/>
      <c r="DG5" s="55"/>
      <c r="DH5" s="55"/>
      <c r="DI5" s="55"/>
      <c r="DJ5" s="55"/>
      <c r="DK5" s="55"/>
      <c r="DL5" s="55"/>
      <c r="DM5" s="55"/>
      <c r="DN5" s="55"/>
      <c r="DO5" s="55"/>
      <c r="DP5" s="55"/>
      <c r="DQ5" s="55"/>
      <c r="DR5" s="55"/>
      <c r="DS5" s="55"/>
      <c r="DT5" s="55"/>
      <c r="DU5" s="55"/>
      <c r="DV5" s="55"/>
      <c r="DW5" s="55"/>
      <c r="DX5" s="55"/>
      <c r="DY5" s="55"/>
      <c r="DZ5" s="55"/>
      <c r="EA5" s="55"/>
      <c r="EB5" s="55"/>
      <c r="EC5" s="55"/>
      <c r="ED5" s="55"/>
    </row>
    <row r="6" spans="1:134" ht="15" customHeight="1" x14ac:dyDescent="0.25">
      <c r="A6" s="55"/>
      <c r="B6" s="12" t="s">
        <v>119</v>
      </c>
      <c r="C6" s="12" t="s">
        <v>120</v>
      </c>
      <c r="D6" s="12" t="s">
        <v>121</v>
      </c>
      <c r="E6" s="12" t="s">
        <v>122</v>
      </c>
      <c r="F6" s="12" t="s">
        <v>123</v>
      </c>
      <c r="G6" s="12" t="s">
        <v>124</v>
      </c>
      <c r="H6" s="12" t="s">
        <v>125</v>
      </c>
      <c r="I6" s="12" t="s">
        <v>126</v>
      </c>
      <c r="J6" s="12" t="s">
        <v>97</v>
      </c>
      <c r="K6" s="12" t="s">
        <v>98</v>
      </c>
      <c r="L6" s="12" t="s">
        <v>99</v>
      </c>
      <c r="M6" s="12" t="s">
        <v>100</v>
      </c>
      <c r="N6" s="12" t="s">
        <v>101</v>
      </c>
      <c r="O6" s="12" t="s">
        <v>102</v>
      </c>
      <c r="P6" s="12" t="s">
        <v>103</v>
      </c>
      <c r="Q6" s="12" t="s">
        <v>104</v>
      </c>
      <c r="R6" s="12" t="s">
        <v>105</v>
      </c>
      <c r="S6" s="12" t="s">
        <v>106</v>
      </c>
      <c r="T6" s="12" t="s">
        <v>107</v>
      </c>
      <c r="U6" s="12" t="s">
        <v>108</v>
      </c>
      <c r="V6" s="12" t="s">
        <v>109</v>
      </c>
      <c r="W6" s="12" t="s">
        <v>110</v>
      </c>
      <c r="X6" s="12" t="s">
        <v>111</v>
      </c>
      <c r="Y6" s="12" t="s">
        <v>112</v>
      </c>
      <c r="Z6" s="12" t="s">
        <v>113</v>
      </c>
      <c r="AA6" s="12" t="s">
        <v>114</v>
      </c>
      <c r="AB6" s="12" t="s">
        <v>115</v>
      </c>
      <c r="AC6" s="12" t="s">
        <v>116</v>
      </c>
      <c r="AD6" s="12" t="s">
        <v>117</v>
      </c>
      <c r="AE6" s="12" t="s">
        <v>118</v>
      </c>
      <c r="AF6" s="12" t="s">
        <v>119</v>
      </c>
      <c r="AG6" s="12" t="s">
        <v>120</v>
      </c>
      <c r="AH6" s="12" t="s">
        <v>121</v>
      </c>
      <c r="AI6" s="12" t="s">
        <v>122</v>
      </c>
      <c r="AJ6" s="12" t="s">
        <v>123</v>
      </c>
      <c r="AK6" s="12" t="s">
        <v>124</v>
      </c>
      <c r="AL6" s="12" t="s">
        <v>125</v>
      </c>
      <c r="AM6" s="12" t="s">
        <v>126</v>
      </c>
      <c r="AN6" s="12" t="s">
        <v>97</v>
      </c>
      <c r="AO6" s="12" t="s">
        <v>98</v>
      </c>
      <c r="AP6" s="12" t="s">
        <v>99</v>
      </c>
      <c r="AQ6" s="12" t="s">
        <v>100</v>
      </c>
      <c r="AR6" s="12" t="s">
        <v>101</v>
      </c>
      <c r="AS6" s="12" t="s">
        <v>102</v>
      </c>
      <c r="AT6" s="12" t="s">
        <v>103</v>
      </c>
      <c r="AU6" s="12" t="s">
        <v>104</v>
      </c>
      <c r="AV6" s="12" t="s">
        <v>105</v>
      </c>
      <c r="AW6" s="12" t="s">
        <v>106</v>
      </c>
      <c r="AX6" s="12" t="s">
        <v>107</v>
      </c>
      <c r="AY6" s="12" t="s">
        <v>108</v>
      </c>
      <c r="AZ6" s="12" t="s">
        <v>109</v>
      </c>
      <c r="BA6" s="12" t="s">
        <v>110</v>
      </c>
      <c r="BB6" s="12" t="s">
        <v>111</v>
      </c>
      <c r="BC6" s="12" t="s">
        <v>112</v>
      </c>
      <c r="BD6" s="12" t="s">
        <v>113</v>
      </c>
      <c r="BE6" s="12" t="s">
        <v>114</v>
      </c>
      <c r="BF6" s="12" t="s">
        <v>115</v>
      </c>
      <c r="BG6" s="12" t="s">
        <v>116</v>
      </c>
      <c r="BH6" s="12" t="s">
        <v>117</v>
      </c>
      <c r="BI6" s="12" t="s">
        <v>118</v>
      </c>
      <c r="BJ6" s="12" t="s">
        <v>119</v>
      </c>
      <c r="BK6" s="12" t="s">
        <v>120</v>
      </c>
      <c r="BL6" s="12" t="s">
        <v>121</v>
      </c>
      <c r="BM6" s="12" t="s">
        <v>122</v>
      </c>
      <c r="BN6" s="12" t="s">
        <v>123</v>
      </c>
      <c r="BO6" s="12" t="s">
        <v>124</v>
      </c>
      <c r="BP6" s="12" t="s">
        <v>125</v>
      </c>
      <c r="BQ6" s="12" t="s">
        <v>126</v>
      </c>
      <c r="BR6" s="12" t="s">
        <v>97</v>
      </c>
      <c r="BS6" s="12" t="s">
        <v>98</v>
      </c>
      <c r="BT6" s="12" t="s">
        <v>99</v>
      </c>
      <c r="BU6" s="12" t="s">
        <v>100</v>
      </c>
      <c r="BV6" s="12" t="s">
        <v>101</v>
      </c>
      <c r="BW6" s="12" t="s">
        <v>102</v>
      </c>
      <c r="BX6" s="12" t="s">
        <v>103</v>
      </c>
      <c r="BY6" s="12" t="s">
        <v>104</v>
      </c>
      <c r="BZ6" s="12" t="s">
        <v>105</v>
      </c>
      <c r="CA6" s="12" t="s">
        <v>106</v>
      </c>
      <c r="CB6" s="12" t="s">
        <v>107</v>
      </c>
      <c r="CC6" s="12" t="s">
        <v>108</v>
      </c>
      <c r="CD6" s="12" t="s">
        <v>109</v>
      </c>
      <c r="CE6" s="12" t="s">
        <v>110</v>
      </c>
      <c r="CF6" s="12" t="s">
        <v>111</v>
      </c>
      <c r="CG6" s="12" t="s">
        <v>112</v>
      </c>
      <c r="CH6" s="12" t="s">
        <v>113</v>
      </c>
      <c r="CI6" s="12" t="s">
        <v>114</v>
      </c>
      <c r="CJ6" s="12" t="s">
        <v>115</v>
      </c>
      <c r="CK6" s="12" t="s">
        <v>116</v>
      </c>
      <c r="CL6" s="12" t="s">
        <v>117</v>
      </c>
      <c r="CM6" s="12" t="s">
        <v>118</v>
      </c>
      <c r="CN6" s="12" t="s">
        <v>119</v>
      </c>
      <c r="CO6" s="12" t="s">
        <v>120</v>
      </c>
      <c r="CP6" s="12" t="s">
        <v>121</v>
      </c>
      <c r="CQ6" s="12" t="s">
        <v>122</v>
      </c>
      <c r="CR6" s="12" t="s">
        <v>123</v>
      </c>
      <c r="CS6" s="12" t="s">
        <v>124</v>
      </c>
      <c r="CT6" s="12" t="s">
        <v>125</v>
      </c>
      <c r="CU6" s="12" t="s">
        <v>126</v>
      </c>
      <c r="CV6" s="55"/>
      <c r="CW6" s="55"/>
      <c r="CX6" s="55"/>
      <c r="CY6" s="55"/>
      <c r="CZ6" s="55"/>
      <c r="DA6" s="12" t="s">
        <v>97</v>
      </c>
      <c r="DB6" s="12" t="s">
        <v>98</v>
      </c>
      <c r="DC6" s="12" t="s">
        <v>99</v>
      </c>
      <c r="DD6" s="12" t="s">
        <v>100</v>
      </c>
      <c r="DE6" s="12" t="s">
        <v>101</v>
      </c>
      <c r="DF6" s="12" t="s">
        <v>102</v>
      </c>
      <c r="DG6" s="12" t="s">
        <v>103</v>
      </c>
      <c r="DH6" s="12" t="s">
        <v>104</v>
      </c>
      <c r="DI6" s="12" t="s">
        <v>105</v>
      </c>
      <c r="DJ6" s="12" t="s">
        <v>106</v>
      </c>
      <c r="DK6" s="12" t="s">
        <v>107</v>
      </c>
      <c r="DL6" s="12" t="s">
        <v>108</v>
      </c>
      <c r="DM6" s="12" t="s">
        <v>109</v>
      </c>
      <c r="DN6" s="12" t="s">
        <v>110</v>
      </c>
      <c r="DO6" s="12" t="s">
        <v>111</v>
      </c>
      <c r="DP6" s="12" t="s">
        <v>112</v>
      </c>
      <c r="DQ6" s="12" t="s">
        <v>113</v>
      </c>
      <c r="DR6" s="12" t="s">
        <v>114</v>
      </c>
      <c r="DS6" s="12" t="s">
        <v>115</v>
      </c>
      <c r="DT6" s="12" t="s">
        <v>116</v>
      </c>
      <c r="DU6" s="12" t="s">
        <v>117</v>
      </c>
      <c r="DV6" s="12" t="s">
        <v>118</v>
      </c>
      <c r="DW6" s="12" t="s">
        <v>119</v>
      </c>
      <c r="DX6" s="12" t="s">
        <v>120</v>
      </c>
      <c r="DY6" s="12" t="s">
        <v>121</v>
      </c>
      <c r="DZ6" s="12" t="s">
        <v>122</v>
      </c>
      <c r="EA6" s="12" t="s">
        <v>123</v>
      </c>
      <c r="EB6" s="12" t="s">
        <v>124</v>
      </c>
      <c r="EC6" s="12" t="s">
        <v>125</v>
      </c>
      <c r="ED6" s="12" t="s">
        <v>126</v>
      </c>
    </row>
    <row r="7" spans="1:134" ht="17.100000000000001" customHeight="1" x14ac:dyDescent="0.25">
      <c r="A7" s="13" t="s">
        <v>140</v>
      </c>
    </row>
    <row r="8" spans="1:134" ht="36" customHeight="1" x14ac:dyDescent="0.25">
      <c r="A8" s="14" t="s">
        <v>139</v>
      </c>
    </row>
    <row r="9" spans="1:134" ht="20.100000000000001" customHeight="1" x14ac:dyDescent="0.25">
      <c r="A9" s="13" t="s">
        <v>154</v>
      </c>
    </row>
    <row r="10" spans="1:134" ht="20.100000000000001" customHeight="1" x14ac:dyDescent="0.25">
      <c r="A10" s="13" t="s">
        <v>155</v>
      </c>
    </row>
    <row r="11" spans="1:134" ht="20.100000000000001" customHeight="1" x14ac:dyDescent="0.25">
      <c r="A11" s="13" t="s">
        <v>142</v>
      </c>
    </row>
    <row r="12" spans="1:134" ht="20.100000000000001" customHeight="1" x14ac:dyDescent="0.25">
      <c r="A12" s="13" t="s">
        <v>145</v>
      </c>
    </row>
    <row r="13" spans="1:134" ht="20.100000000000001" customHeight="1" x14ac:dyDescent="0.25">
      <c r="A13" s="13" t="s">
        <v>141</v>
      </c>
    </row>
    <row r="14" spans="1:134" ht="20.100000000000001" customHeight="1" x14ac:dyDescent="0.25">
      <c r="A14" s="13" t="s">
        <v>160</v>
      </c>
    </row>
    <row r="15" spans="1:134" ht="20.100000000000001" customHeight="1" x14ac:dyDescent="0.25">
      <c r="A15" s="13" t="s">
        <v>144</v>
      </c>
    </row>
    <row r="16" spans="1:134" ht="20.100000000000001" customHeight="1" x14ac:dyDescent="0.25">
      <c r="A16" s="13" t="s">
        <v>146</v>
      </c>
    </row>
    <row r="17" spans="1:1" ht="20.100000000000001" customHeight="1" x14ac:dyDescent="0.25">
      <c r="A17" s="13" t="s">
        <v>143</v>
      </c>
    </row>
    <row r="18" spans="1:1" ht="20.100000000000001" customHeight="1" x14ac:dyDescent="0.25">
      <c r="A18" s="13" t="s">
        <v>147</v>
      </c>
    </row>
    <row r="19" spans="1:1" ht="20.100000000000001" customHeight="1" x14ac:dyDescent="0.25">
      <c r="A19" s="13" t="s">
        <v>148</v>
      </c>
    </row>
    <row r="20" spans="1:1" ht="20.100000000000001" customHeight="1" x14ac:dyDescent="0.25">
      <c r="A20" s="13" t="s">
        <v>153</v>
      </c>
    </row>
    <row r="21" spans="1:1" ht="20.100000000000001" customHeight="1" x14ac:dyDescent="0.25">
      <c r="A21" s="13" t="s">
        <v>149</v>
      </c>
    </row>
    <row r="22" spans="1:1" ht="20.100000000000001" customHeight="1" x14ac:dyDescent="0.25">
      <c r="A22" s="13" t="s">
        <v>150</v>
      </c>
    </row>
    <row r="23" spans="1:1" ht="20.100000000000001" customHeight="1" x14ac:dyDescent="0.25">
      <c r="A23" s="13" t="s">
        <v>151</v>
      </c>
    </row>
    <row r="24" spans="1:1" ht="20.100000000000001" customHeight="1" x14ac:dyDescent="0.25">
      <c r="A24" s="13" t="s">
        <v>152</v>
      </c>
    </row>
    <row r="25" spans="1:1" ht="20.100000000000001" customHeight="1" x14ac:dyDescent="0.25">
      <c r="A25" s="13" t="s">
        <v>164</v>
      </c>
    </row>
    <row r="26" spans="1:1" ht="20.100000000000001" customHeight="1" x14ac:dyDescent="0.25">
      <c r="A26" s="13" t="s">
        <v>156</v>
      </c>
    </row>
    <row r="27" spans="1:1" ht="20.100000000000001" customHeight="1" x14ac:dyDescent="0.25">
      <c r="A27" s="13" t="s">
        <v>157</v>
      </c>
    </row>
    <row r="28" spans="1:1" ht="20.100000000000001" customHeight="1" x14ac:dyDescent="0.25">
      <c r="A28" s="13" t="s">
        <v>11</v>
      </c>
    </row>
    <row r="29" spans="1:1" ht="20.100000000000001" customHeight="1" x14ac:dyDescent="0.25">
      <c r="A29" s="13" t="s">
        <v>158</v>
      </c>
    </row>
    <row r="30" spans="1:1" ht="20.100000000000001" customHeight="1" x14ac:dyDescent="0.25">
      <c r="A30" s="13" t="s">
        <v>159</v>
      </c>
    </row>
    <row r="31" spans="1:1" ht="20.100000000000001" customHeight="1" x14ac:dyDescent="0.25">
      <c r="A31" s="13" t="s">
        <v>161</v>
      </c>
    </row>
    <row r="32" spans="1:1" ht="20.100000000000001" customHeight="1" x14ac:dyDescent="0.25">
      <c r="A32" s="13" t="s">
        <v>162</v>
      </c>
    </row>
    <row r="33" spans="1:1" ht="20.100000000000001" customHeight="1" x14ac:dyDescent="0.25">
      <c r="A33" s="13" t="s">
        <v>166</v>
      </c>
    </row>
    <row r="34" spans="1:1" ht="20.100000000000001" customHeight="1" x14ac:dyDescent="0.25">
      <c r="A34" s="13" t="s">
        <v>163</v>
      </c>
    </row>
    <row r="35" spans="1:1" ht="20.100000000000001" customHeight="1" x14ac:dyDescent="0.25">
      <c r="A35" s="13" t="s">
        <v>165</v>
      </c>
    </row>
    <row r="36" spans="1:1" ht="20.100000000000001" customHeight="1" x14ac:dyDescent="0.25">
      <c r="A36" s="2"/>
    </row>
  </sheetData>
  <mergeCells count="12">
    <mergeCell ref="DA5:ED5"/>
    <mergeCell ref="DA4:ED4"/>
    <mergeCell ref="A1:A2"/>
    <mergeCell ref="A4:A6"/>
    <mergeCell ref="B5:I5"/>
    <mergeCell ref="J5:AM5"/>
    <mergeCell ref="AN5:BQ5"/>
    <mergeCell ref="J4:BQ4"/>
    <mergeCell ref="B4:I4"/>
    <mergeCell ref="BR5:CU5"/>
    <mergeCell ref="BR4:CU4"/>
    <mergeCell ref="CV4:CZ6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138"/>
  <sheetViews>
    <sheetView view="pageLayout" zoomScaleNormal="75" workbookViewId="0">
      <selection activeCell="F138" sqref="F138"/>
    </sheetView>
  </sheetViews>
  <sheetFormatPr defaultRowHeight="15" x14ac:dyDescent="0.25"/>
  <cols>
    <col min="1" max="1" width="11.28515625" style="1" customWidth="1"/>
    <col min="2" max="3" width="9.140625" style="1"/>
    <col min="4" max="4" width="3.5703125" style="1" customWidth="1"/>
    <col min="5" max="5" width="12.85546875" style="1" customWidth="1"/>
    <col min="6" max="6" width="10.5703125" style="1" customWidth="1"/>
    <col min="7" max="7" width="9.140625" style="1"/>
    <col min="8" max="8" width="15.140625" style="1" customWidth="1"/>
    <col min="9" max="9" width="9.28515625" style="1" customWidth="1"/>
    <col min="10" max="16384" width="9.140625" style="1"/>
  </cols>
  <sheetData>
    <row r="1" spans="1:9" ht="15" customHeight="1" x14ac:dyDescent="0.25">
      <c r="A1" s="85" t="s">
        <v>31</v>
      </c>
      <c r="B1" s="85"/>
      <c r="C1" s="85"/>
      <c r="D1" s="85"/>
      <c r="E1" s="85"/>
      <c r="F1" s="85"/>
      <c r="G1" s="85"/>
      <c r="H1" s="85"/>
      <c r="I1" s="85"/>
    </row>
    <row r="2" spans="1:9" ht="15" customHeight="1" x14ac:dyDescent="0.25">
      <c r="A2" s="85"/>
      <c r="B2" s="85"/>
      <c r="C2" s="85"/>
      <c r="D2" s="85"/>
      <c r="E2" s="85"/>
      <c r="F2" s="85"/>
      <c r="G2" s="85"/>
      <c r="H2" s="85"/>
      <c r="I2" s="85"/>
    </row>
    <row r="4" spans="1:9" ht="15.75" x14ac:dyDescent="0.25">
      <c r="A4" s="3" t="s">
        <v>0</v>
      </c>
    </row>
    <row r="5" spans="1:9" x14ac:dyDescent="0.25">
      <c r="A5" s="4" t="s">
        <v>1</v>
      </c>
    </row>
    <row r="6" spans="1:9" x14ac:dyDescent="0.25">
      <c r="A6" s="4" t="s">
        <v>2</v>
      </c>
    </row>
    <row r="7" spans="1:9" x14ac:dyDescent="0.25">
      <c r="A7" s="6" t="s">
        <v>24</v>
      </c>
      <c r="B7" s="62" t="s">
        <v>3</v>
      </c>
      <c r="C7" s="62"/>
      <c r="D7" s="62"/>
      <c r="E7" s="6" t="s">
        <v>23</v>
      </c>
      <c r="F7" s="6" t="s">
        <v>4</v>
      </c>
      <c r="G7" s="62" t="s">
        <v>5</v>
      </c>
      <c r="H7" s="62"/>
      <c r="I7" s="6" t="s">
        <v>6</v>
      </c>
    </row>
    <row r="8" spans="1:9" x14ac:dyDescent="0.25">
      <c r="A8" s="76">
        <v>15</v>
      </c>
      <c r="B8" s="62" t="s">
        <v>7</v>
      </c>
      <c r="C8" s="62"/>
      <c r="D8" s="62"/>
      <c r="E8" s="62" t="s">
        <v>25</v>
      </c>
      <c r="F8" s="62"/>
      <c r="G8" s="58" t="s">
        <v>8</v>
      </c>
      <c r="H8" s="58"/>
      <c r="I8" s="8"/>
    </row>
    <row r="9" spans="1:9" x14ac:dyDescent="0.25">
      <c r="A9" s="76"/>
      <c r="B9" s="62"/>
      <c r="C9" s="62"/>
      <c r="D9" s="62"/>
      <c r="E9" s="62"/>
      <c r="F9" s="62"/>
      <c r="G9" s="58" t="s">
        <v>9</v>
      </c>
      <c r="H9" s="58"/>
      <c r="I9" s="8"/>
    </row>
    <row r="10" spans="1:9" x14ac:dyDescent="0.25">
      <c r="A10" s="76"/>
      <c r="B10" s="62"/>
      <c r="C10" s="62"/>
      <c r="D10" s="62"/>
      <c r="E10" s="62"/>
      <c r="F10" s="62"/>
      <c r="G10" s="58" t="s">
        <v>10</v>
      </c>
      <c r="H10" s="58"/>
      <c r="I10" s="8"/>
    </row>
    <row r="11" spans="1:9" x14ac:dyDescent="0.25">
      <c r="A11" s="76"/>
      <c r="B11" s="62"/>
      <c r="C11" s="62"/>
      <c r="D11" s="62"/>
      <c r="E11" s="62"/>
      <c r="F11" s="62"/>
      <c r="G11" s="58"/>
      <c r="H11" s="58"/>
      <c r="I11" s="8"/>
    </row>
    <row r="12" spans="1:9" x14ac:dyDescent="0.25">
      <c r="A12" s="90">
        <v>15</v>
      </c>
      <c r="B12" s="93" t="s">
        <v>58</v>
      </c>
      <c r="C12" s="94"/>
      <c r="D12" s="95"/>
      <c r="E12" s="79" t="s">
        <v>59</v>
      </c>
      <c r="F12" s="82"/>
      <c r="G12" s="60" t="s">
        <v>134</v>
      </c>
      <c r="H12" s="61"/>
      <c r="I12" s="8"/>
    </row>
    <row r="13" spans="1:9" x14ac:dyDescent="0.25">
      <c r="A13" s="91"/>
      <c r="B13" s="96"/>
      <c r="C13" s="97"/>
      <c r="D13" s="98"/>
      <c r="E13" s="80"/>
      <c r="F13" s="83"/>
      <c r="G13" s="60" t="s">
        <v>60</v>
      </c>
      <c r="H13" s="61"/>
      <c r="I13" s="8"/>
    </row>
    <row r="14" spans="1:9" x14ac:dyDescent="0.25">
      <c r="A14" s="92"/>
      <c r="B14" s="99"/>
      <c r="C14" s="100"/>
      <c r="D14" s="101"/>
      <c r="E14" s="81"/>
      <c r="F14" s="84"/>
      <c r="G14" s="63"/>
      <c r="H14" s="64"/>
      <c r="I14" s="8"/>
    </row>
    <row r="15" spans="1:9" x14ac:dyDescent="0.25">
      <c r="A15" s="77">
        <v>16.3</v>
      </c>
      <c r="B15" s="78" t="s">
        <v>11</v>
      </c>
      <c r="C15" s="78"/>
      <c r="D15" s="78"/>
      <c r="E15" s="78" t="s">
        <v>26</v>
      </c>
      <c r="F15" s="78"/>
      <c r="G15" s="59" t="s">
        <v>12</v>
      </c>
      <c r="H15" s="59"/>
      <c r="I15" s="8"/>
    </row>
    <row r="16" spans="1:9" x14ac:dyDescent="0.25">
      <c r="A16" s="77"/>
      <c r="B16" s="78"/>
      <c r="C16" s="78"/>
      <c r="D16" s="78"/>
      <c r="E16" s="78"/>
      <c r="F16" s="78"/>
      <c r="G16" s="59" t="s">
        <v>13</v>
      </c>
      <c r="H16" s="59"/>
      <c r="I16" s="8"/>
    </row>
    <row r="17" spans="1:9" x14ac:dyDescent="0.25">
      <c r="A17" s="77"/>
      <c r="B17" s="78"/>
      <c r="C17" s="78"/>
      <c r="D17" s="78"/>
      <c r="E17" s="78"/>
      <c r="F17" s="78"/>
      <c r="G17" s="59" t="s">
        <v>22</v>
      </c>
      <c r="H17" s="59"/>
      <c r="I17" s="8"/>
    </row>
    <row r="18" spans="1:9" x14ac:dyDescent="0.25">
      <c r="A18" s="77"/>
      <c r="B18" s="78"/>
      <c r="C18" s="78"/>
      <c r="D18" s="78"/>
      <c r="E18" s="78"/>
      <c r="F18" s="78"/>
      <c r="G18" s="62"/>
      <c r="H18" s="62"/>
      <c r="I18" s="8"/>
    </row>
    <row r="19" spans="1:9" x14ac:dyDescent="0.25">
      <c r="A19" s="76">
        <v>18</v>
      </c>
      <c r="B19" s="62" t="s">
        <v>14</v>
      </c>
      <c r="C19" s="62"/>
      <c r="D19" s="62"/>
      <c r="E19" s="62" t="s">
        <v>25</v>
      </c>
      <c r="F19" s="62"/>
      <c r="G19" s="58" t="s">
        <v>8</v>
      </c>
      <c r="H19" s="58"/>
      <c r="I19" s="8"/>
    </row>
    <row r="20" spans="1:9" x14ac:dyDescent="0.25">
      <c r="A20" s="76"/>
      <c r="B20" s="62"/>
      <c r="C20" s="62"/>
      <c r="D20" s="62"/>
      <c r="E20" s="62"/>
      <c r="F20" s="62"/>
      <c r="G20" s="58"/>
      <c r="H20" s="58"/>
      <c r="I20" s="8"/>
    </row>
    <row r="21" spans="1:9" x14ac:dyDescent="0.25">
      <c r="A21" s="76">
        <v>19</v>
      </c>
      <c r="B21" s="62" t="s">
        <v>15</v>
      </c>
      <c r="C21" s="62"/>
      <c r="D21" s="62"/>
      <c r="E21" s="9" t="s">
        <v>27</v>
      </c>
      <c r="F21" s="62"/>
      <c r="G21" s="58" t="s">
        <v>16</v>
      </c>
      <c r="H21" s="58"/>
      <c r="I21" s="8"/>
    </row>
    <row r="22" spans="1:9" x14ac:dyDescent="0.25">
      <c r="A22" s="76"/>
      <c r="B22" s="62"/>
      <c r="C22" s="62"/>
      <c r="D22" s="62"/>
      <c r="E22" s="9" t="s">
        <v>29</v>
      </c>
      <c r="F22" s="62"/>
      <c r="G22" s="58" t="s">
        <v>17</v>
      </c>
      <c r="H22" s="58"/>
      <c r="I22" s="8"/>
    </row>
    <row r="23" spans="1:9" x14ac:dyDescent="0.25">
      <c r="A23" s="76"/>
      <c r="B23" s="62"/>
      <c r="C23" s="62"/>
      <c r="D23" s="62"/>
      <c r="E23" s="6"/>
      <c r="F23" s="62"/>
      <c r="G23" s="58"/>
      <c r="H23" s="58"/>
      <c r="I23" s="8"/>
    </row>
    <row r="24" spans="1:9" x14ac:dyDescent="0.25">
      <c r="A24" s="77">
        <v>19.25</v>
      </c>
      <c r="B24" s="78" t="s">
        <v>20</v>
      </c>
      <c r="C24" s="78"/>
      <c r="D24" s="78"/>
      <c r="E24" s="78" t="s">
        <v>25</v>
      </c>
      <c r="F24" s="62"/>
      <c r="G24" s="62"/>
      <c r="H24" s="62"/>
      <c r="I24" s="62"/>
    </row>
    <row r="25" spans="1:9" ht="15" customHeight="1" x14ac:dyDescent="0.25">
      <c r="A25" s="77"/>
      <c r="B25" s="78"/>
      <c r="C25" s="78"/>
      <c r="D25" s="78"/>
      <c r="E25" s="78"/>
      <c r="F25" s="62"/>
      <c r="G25" s="62"/>
      <c r="H25" s="62"/>
      <c r="I25" s="62"/>
    </row>
    <row r="26" spans="1:9" x14ac:dyDescent="0.25">
      <c r="A26" s="76">
        <v>19.3</v>
      </c>
      <c r="B26" s="62" t="s">
        <v>18</v>
      </c>
      <c r="C26" s="62"/>
      <c r="D26" s="62"/>
      <c r="E26" s="62" t="s">
        <v>25</v>
      </c>
      <c r="F26" s="62"/>
      <c r="G26" s="58" t="s">
        <v>8</v>
      </c>
      <c r="H26" s="58"/>
      <c r="I26" s="8"/>
    </row>
    <row r="27" spans="1:9" x14ac:dyDescent="0.25">
      <c r="A27" s="76"/>
      <c r="B27" s="62"/>
      <c r="C27" s="62"/>
      <c r="D27" s="62"/>
      <c r="E27" s="62"/>
      <c r="F27" s="62"/>
      <c r="G27" s="66" t="s">
        <v>19</v>
      </c>
      <c r="H27" s="66"/>
      <c r="I27" s="8"/>
    </row>
    <row r="28" spans="1:9" x14ac:dyDescent="0.25">
      <c r="A28" s="76"/>
      <c r="B28" s="62"/>
      <c r="C28" s="62"/>
      <c r="D28" s="62"/>
      <c r="E28" s="62"/>
      <c r="F28" s="62"/>
      <c r="G28" s="58"/>
      <c r="H28" s="58"/>
      <c r="I28" s="8"/>
    </row>
    <row r="29" spans="1:9" x14ac:dyDescent="0.25">
      <c r="A29" s="77">
        <v>20.3</v>
      </c>
      <c r="B29" s="78" t="s">
        <v>21</v>
      </c>
      <c r="C29" s="78"/>
      <c r="D29" s="78"/>
      <c r="E29" s="78" t="s">
        <v>25</v>
      </c>
      <c r="F29" s="62"/>
      <c r="G29" s="62"/>
      <c r="H29" s="62"/>
      <c r="I29" s="62"/>
    </row>
    <row r="30" spans="1:9" x14ac:dyDescent="0.25">
      <c r="A30" s="77"/>
      <c r="B30" s="78"/>
      <c r="C30" s="78"/>
      <c r="D30" s="78"/>
      <c r="E30" s="78"/>
      <c r="F30" s="62"/>
      <c r="G30" s="62"/>
      <c r="H30" s="62"/>
      <c r="I30" s="62"/>
    </row>
    <row r="31" spans="1:9" x14ac:dyDescent="0.25">
      <c r="A31" s="77">
        <v>20.399999999999999</v>
      </c>
      <c r="B31" s="78" t="s">
        <v>11</v>
      </c>
      <c r="C31" s="78"/>
      <c r="D31" s="78"/>
      <c r="E31" s="78" t="s">
        <v>26</v>
      </c>
      <c r="F31" s="78"/>
      <c r="G31" s="59" t="s">
        <v>28</v>
      </c>
      <c r="H31" s="59"/>
      <c r="I31" s="8"/>
    </row>
    <row r="32" spans="1:9" x14ac:dyDescent="0.25">
      <c r="A32" s="77"/>
      <c r="B32" s="78"/>
      <c r="C32" s="78"/>
      <c r="D32" s="78"/>
      <c r="E32" s="78"/>
      <c r="F32" s="78"/>
      <c r="G32" s="59" t="s">
        <v>30</v>
      </c>
      <c r="H32" s="59"/>
      <c r="I32" s="8"/>
    </row>
    <row r="33" spans="1:9" x14ac:dyDescent="0.25">
      <c r="A33" s="77"/>
      <c r="B33" s="78"/>
      <c r="C33" s="78"/>
      <c r="D33" s="78"/>
      <c r="E33" s="78"/>
      <c r="F33" s="78"/>
      <c r="G33" s="58"/>
      <c r="H33" s="58"/>
      <c r="I33" s="8"/>
    </row>
    <row r="34" spans="1:9" x14ac:dyDescent="0.25">
      <c r="A34" s="5"/>
      <c r="B34" s="55"/>
      <c r="C34" s="55"/>
      <c r="D34" s="55"/>
      <c r="E34" s="2"/>
      <c r="G34" s="65"/>
      <c r="H34" s="65"/>
    </row>
    <row r="35" spans="1:9" x14ac:dyDescent="0.25">
      <c r="A35" s="5"/>
      <c r="B35" s="55"/>
      <c r="C35" s="55"/>
      <c r="D35" s="55"/>
      <c r="E35" s="2"/>
      <c r="G35" s="65"/>
      <c r="H35" s="65"/>
    </row>
    <row r="36" spans="1:9" x14ac:dyDescent="0.25">
      <c r="A36" s="5"/>
      <c r="B36" s="55"/>
      <c r="C36" s="55"/>
      <c r="D36" s="55"/>
      <c r="E36" s="2"/>
      <c r="G36" s="65"/>
      <c r="H36" s="65"/>
    </row>
    <row r="37" spans="1:9" x14ac:dyDescent="0.25">
      <c r="A37" s="5"/>
      <c r="B37" s="55"/>
      <c r="C37" s="55"/>
      <c r="D37" s="55"/>
      <c r="E37" s="2"/>
      <c r="G37" s="65"/>
      <c r="H37" s="65"/>
    </row>
    <row r="38" spans="1:9" x14ac:dyDescent="0.25">
      <c r="A38" s="5"/>
      <c r="B38" s="55"/>
      <c r="C38" s="55"/>
      <c r="D38" s="55"/>
      <c r="E38" s="2"/>
      <c r="G38" s="65"/>
      <c r="H38" s="65"/>
    </row>
    <row r="39" spans="1:9" x14ac:dyDescent="0.25">
      <c r="A39" s="5"/>
      <c r="B39" s="55"/>
      <c r="C39" s="55"/>
      <c r="D39" s="55"/>
      <c r="E39" s="2"/>
      <c r="G39" s="65"/>
      <c r="H39" s="65"/>
    </row>
    <row r="40" spans="1:9" x14ac:dyDescent="0.25">
      <c r="A40" s="5"/>
      <c r="B40" s="55"/>
      <c r="C40" s="55"/>
      <c r="D40" s="55"/>
      <c r="E40" s="2"/>
      <c r="G40" s="65"/>
      <c r="H40" s="65"/>
    </row>
    <row r="41" spans="1:9" x14ac:dyDescent="0.25">
      <c r="A41" s="5"/>
      <c r="B41" s="55"/>
      <c r="C41" s="55"/>
      <c r="D41" s="55"/>
      <c r="E41" s="2"/>
      <c r="G41" s="65"/>
      <c r="H41" s="65"/>
    </row>
    <row r="42" spans="1:9" x14ac:dyDescent="0.25">
      <c r="A42" s="5"/>
      <c r="B42" s="55"/>
      <c r="C42" s="55"/>
      <c r="D42" s="55"/>
      <c r="E42" s="2"/>
      <c r="G42" s="65"/>
      <c r="H42" s="65"/>
    </row>
    <row r="43" spans="1:9" x14ac:dyDescent="0.25">
      <c r="A43" s="5"/>
      <c r="B43" s="55"/>
      <c r="C43" s="55"/>
      <c r="D43" s="55"/>
      <c r="E43" s="2"/>
      <c r="G43" s="65"/>
      <c r="H43" s="65"/>
    </row>
    <row r="44" spans="1:9" x14ac:dyDescent="0.25">
      <c r="A44" s="5"/>
      <c r="B44" s="55"/>
      <c r="C44" s="55"/>
      <c r="D44" s="55"/>
      <c r="E44" s="2"/>
      <c r="G44" s="65"/>
      <c r="H44" s="65"/>
    </row>
    <row r="45" spans="1:9" x14ac:dyDescent="0.25">
      <c r="A45" s="5"/>
      <c r="B45" s="55"/>
      <c r="C45" s="55"/>
      <c r="D45" s="55"/>
      <c r="E45" s="2"/>
      <c r="G45" s="65"/>
      <c r="H45" s="65"/>
    </row>
    <row r="46" spans="1:9" x14ac:dyDescent="0.25">
      <c r="A46" s="5"/>
      <c r="B46" s="55"/>
      <c r="C46" s="55"/>
      <c r="D46" s="55"/>
      <c r="E46" s="2"/>
      <c r="G46" s="65"/>
      <c r="H46" s="65"/>
    </row>
    <row r="47" spans="1:9" x14ac:dyDescent="0.25">
      <c r="A47" s="5"/>
      <c r="B47" s="55"/>
      <c r="C47" s="55"/>
      <c r="D47" s="55"/>
      <c r="E47" s="2"/>
      <c r="G47" s="65"/>
      <c r="H47" s="65"/>
    </row>
    <row r="48" spans="1:9" ht="15.75" x14ac:dyDescent="0.25">
      <c r="A48" s="3" t="s">
        <v>32</v>
      </c>
    </row>
    <row r="49" spans="1:9" x14ac:dyDescent="0.25">
      <c r="A49" s="4" t="s">
        <v>1</v>
      </c>
    </row>
    <row r="50" spans="1:9" x14ac:dyDescent="0.25">
      <c r="A50" s="4" t="s">
        <v>2</v>
      </c>
    </row>
    <row r="51" spans="1:9" x14ac:dyDescent="0.25">
      <c r="A51" s="6" t="s">
        <v>24</v>
      </c>
      <c r="B51" s="72" t="s">
        <v>3</v>
      </c>
      <c r="C51" s="73"/>
      <c r="D51" s="74"/>
      <c r="E51" s="6" t="s">
        <v>23</v>
      </c>
      <c r="F51" s="6" t="s">
        <v>4</v>
      </c>
      <c r="G51" s="72" t="s">
        <v>5</v>
      </c>
      <c r="H51" s="74"/>
      <c r="I51" s="6" t="s">
        <v>6</v>
      </c>
    </row>
    <row r="52" spans="1:9" x14ac:dyDescent="0.25">
      <c r="A52" s="86" t="s">
        <v>37</v>
      </c>
      <c r="B52" s="67" t="s">
        <v>33</v>
      </c>
      <c r="C52" s="68"/>
      <c r="D52" s="69"/>
      <c r="E52" s="62" t="s">
        <v>25</v>
      </c>
      <c r="F52" s="87"/>
      <c r="G52" s="70" t="s">
        <v>8</v>
      </c>
      <c r="H52" s="71"/>
      <c r="I52" s="8"/>
    </row>
    <row r="53" spans="1:9" x14ac:dyDescent="0.25">
      <c r="A53" s="86"/>
      <c r="B53" s="67" t="s">
        <v>34</v>
      </c>
      <c r="C53" s="68"/>
      <c r="D53" s="69"/>
      <c r="E53" s="62"/>
      <c r="F53" s="88"/>
      <c r="G53" s="70" t="s">
        <v>36</v>
      </c>
      <c r="H53" s="71"/>
      <c r="I53" s="8"/>
    </row>
    <row r="54" spans="1:9" x14ac:dyDescent="0.25">
      <c r="A54" s="86"/>
      <c r="B54" s="67" t="s">
        <v>35</v>
      </c>
      <c r="C54" s="68"/>
      <c r="D54" s="69"/>
      <c r="E54" s="62"/>
      <c r="F54" s="88"/>
      <c r="G54" s="70"/>
      <c r="H54" s="71"/>
      <c r="I54" s="8"/>
    </row>
    <row r="55" spans="1:9" x14ac:dyDescent="0.25">
      <c r="A55" s="86"/>
      <c r="B55" s="67"/>
      <c r="C55" s="68"/>
      <c r="D55" s="69"/>
      <c r="E55" s="62"/>
      <c r="F55" s="89"/>
      <c r="G55" s="70"/>
      <c r="H55" s="71"/>
      <c r="I55" s="8"/>
    </row>
    <row r="56" spans="1:9" x14ac:dyDescent="0.25">
      <c r="A56" s="86" t="s">
        <v>38</v>
      </c>
      <c r="B56" s="62" t="s">
        <v>39</v>
      </c>
      <c r="C56" s="62"/>
      <c r="D56" s="62"/>
      <c r="F56" s="62"/>
      <c r="G56" s="58" t="s">
        <v>43</v>
      </c>
      <c r="H56" s="58"/>
      <c r="I56" s="8"/>
    </row>
    <row r="57" spans="1:9" x14ac:dyDescent="0.25">
      <c r="A57" s="86"/>
      <c r="B57" s="62"/>
      <c r="C57" s="62"/>
      <c r="D57" s="62"/>
      <c r="F57" s="62"/>
      <c r="G57" s="58" t="s">
        <v>44</v>
      </c>
      <c r="H57" s="58"/>
      <c r="I57" s="8"/>
    </row>
    <row r="58" spans="1:9" x14ac:dyDescent="0.25">
      <c r="A58" s="86"/>
      <c r="B58" s="62"/>
      <c r="C58" s="62"/>
      <c r="D58" s="62"/>
      <c r="E58" s="2" t="s">
        <v>40</v>
      </c>
      <c r="F58" s="62"/>
      <c r="G58" s="58" t="s">
        <v>45</v>
      </c>
      <c r="H58" s="58"/>
      <c r="I58" s="8"/>
    </row>
    <row r="59" spans="1:9" x14ac:dyDescent="0.25">
      <c r="A59" s="86"/>
      <c r="B59" s="62"/>
      <c r="C59" s="62"/>
      <c r="D59" s="62"/>
      <c r="E59" s="2" t="s">
        <v>41</v>
      </c>
      <c r="F59" s="62"/>
      <c r="G59" s="58" t="s">
        <v>46</v>
      </c>
      <c r="H59" s="58"/>
      <c r="I59" s="8"/>
    </row>
    <row r="60" spans="1:9" x14ac:dyDescent="0.25">
      <c r="A60" s="86"/>
      <c r="B60" s="62"/>
      <c r="C60" s="62"/>
      <c r="D60" s="62"/>
      <c r="E60" s="2" t="s">
        <v>42</v>
      </c>
      <c r="F60" s="62"/>
      <c r="G60" s="58" t="s">
        <v>47</v>
      </c>
      <c r="H60" s="58"/>
      <c r="I60" s="8"/>
    </row>
    <row r="61" spans="1:9" x14ac:dyDescent="0.25">
      <c r="A61" s="86"/>
      <c r="B61" s="62"/>
      <c r="C61" s="62"/>
      <c r="D61" s="62"/>
      <c r="E61" s="2"/>
      <c r="F61" s="62"/>
      <c r="G61" s="58" t="s">
        <v>48</v>
      </c>
      <c r="H61" s="58"/>
      <c r="I61" s="8"/>
    </row>
    <row r="62" spans="1:9" x14ac:dyDescent="0.25">
      <c r="A62" s="86"/>
      <c r="B62" s="62"/>
      <c r="C62" s="62"/>
      <c r="D62" s="62"/>
      <c r="E62" s="2"/>
      <c r="F62" s="62"/>
      <c r="G62" s="58" t="s">
        <v>49</v>
      </c>
      <c r="H62" s="58"/>
      <c r="I62" s="8"/>
    </row>
    <row r="63" spans="1:9" x14ac:dyDescent="0.25">
      <c r="A63" s="86"/>
      <c r="B63" s="87"/>
      <c r="C63" s="87"/>
      <c r="D63" s="87"/>
      <c r="E63" s="2"/>
      <c r="F63" s="87"/>
      <c r="G63" s="102"/>
      <c r="H63" s="102"/>
      <c r="I63" s="11"/>
    </row>
    <row r="64" spans="1:9" x14ac:dyDescent="0.25">
      <c r="A64" s="77">
        <v>12.3</v>
      </c>
      <c r="B64" s="78" t="s">
        <v>50</v>
      </c>
      <c r="C64" s="78"/>
      <c r="D64" s="78"/>
      <c r="E64" s="62"/>
      <c r="F64" s="62"/>
      <c r="G64" s="62"/>
      <c r="H64" s="62"/>
      <c r="I64" s="62"/>
    </row>
    <row r="65" spans="1:9" x14ac:dyDescent="0.25">
      <c r="A65" s="77"/>
      <c r="B65" s="78"/>
      <c r="C65" s="78"/>
      <c r="D65" s="78"/>
      <c r="E65" s="62"/>
      <c r="F65" s="62"/>
      <c r="G65" s="62"/>
      <c r="H65" s="62"/>
      <c r="I65" s="62"/>
    </row>
    <row r="66" spans="1:9" ht="15" customHeight="1" x14ac:dyDescent="0.25">
      <c r="A66" s="76">
        <v>15</v>
      </c>
      <c r="B66" s="62" t="s">
        <v>51</v>
      </c>
      <c r="C66" s="62"/>
      <c r="D66" s="62"/>
      <c r="E66" s="75" t="s">
        <v>52</v>
      </c>
      <c r="F66" s="62"/>
      <c r="G66" s="58" t="s">
        <v>53</v>
      </c>
      <c r="H66" s="58"/>
      <c r="I66" s="8"/>
    </row>
    <row r="67" spans="1:9" x14ac:dyDescent="0.25">
      <c r="A67" s="76"/>
      <c r="B67" s="62"/>
      <c r="C67" s="62"/>
      <c r="D67" s="62"/>
      <c r="E67" s="75"/>
      <c r="F67" s="62"/>
      <c r="G67" s="58" t="s">
        <v>54</v>
      </c>
      <c r="H67" s="58"/>
      <c r="I67" s="8"/>
    </row>
    <row r="68" spans="1:9" x14ac:dyDescent="0.25">
      <c r="A68" s="76"/>
      <c r="B68" s="62"/>
      <c r="C68" s="62"/>
      <c r="D68" s="62"/>
      <c r="E68" s="75"/>
      <c r="F68" s="62"/>
      <c r="G68" s="58" t="s">
        <v>55</v>
      </c>
      <c r="H68" s="58"/>
      <c r="I68" s="8"/>
    </row>
    <row r="69" spans="1:9" x14ac:dyDescent="0.25">
      <c r="A69" s="76"/>
      <c r="B69" s="62"/>
      <c r="C69" s="62"/>
      <c r="D69" s="62"/>
      <c r="E69" s="75"/>
      <c r="F69" s="62"/>
      <c r="G69" s="58" t="s">
        <v>56</v>
      </c>
      <c r="H69" s="58"/>
      <c r="I69" s="8"/>
    </row>
    <row r="70" spans="1:9" x14ac:dyDescent="0.25">
      <c r="A70" s="76"/>
      <c r="B70" s="62"/>
      <c r="C70" s="62"/>
      <c r="D70" s="62"/>
      <c r="E70" s="75"/>
      <c r="F70" s="62"/>
      <c r="G70" s="58" t="s">
        <v>57</v>
      </c>
      <c r="H70" s="58"/>
      <c r="I70" s="8"/>
    </row>
    <row r="71" spans="1:9" x14ac:dyDescent="0.25">
      <c r="A71" s="76"/>
      <c r="B71" s="62"/>
      <c r="C71" s="62"/>
      <c r="D71" s="62"/>
      <c r="E71" s="75"/>
      <c r="F71" s="62"/>
      <c r="G71" s="59" t="s">
        <v>69</v>
      </c>
      <c r="H71" s="59"/>
      <c r="I71" s="8"/>
    </row>
    <row r="72" spans="1:9" x14ac:dyDescent="0.25">
      <c r="A72" s="76"/>
      <c r="B72" s="62"/>
      <c r="C72" s="62"/>
      <c r="D72" s="62"/>
      <c r="E72" s="75"/>
      <c r="F72" s="62"/>
      <c r="G72" s="10"/>
      <c r="H72" s="10"/>
      <c r="I72" s="8"/>
    </row>
    <row r="73" spans="1:9" x14ac:dyDescent="0.25">
      <c r="A73" s="76">
        <v>18</v>
      </c>
      <c r="B73" s="62" t="s">
        <v>61</v>
      </c>
      <c r="C73" s="62"/>
      <c r="D73" s="62"/>
      <c r="E73" s="62" t="s">
        <v>25</v>
      </c>
      <c r="F73" s="62"/>
      <c r="G73" s="58" t="s">
        <v>8</v>
      </c>
      <c r="H73" s="58"/>
      <c r="I73" s="8"/>
    </row>
    <row r="74" spans="1:9" x14ac:dyDescent="0.25">
      <c r="A74" s="76"/>
      <c r="B74" s="62"/>
      <c r="C74" s="62"/>
      <c r="D74" s="62"/>
      <c r="E74" s="62"/>
      <c r="F74" s="62"/>
      <c r="G74" s="58" t="s">
        <v>62</v>
      </c>
      <c r="H74" s="58"/>
      <c r="I74" s="8"/>
    </row>
    <row r="75" spans="1:9" x14ac:dyDescent="0.25">
      <c r="A75" s="76"/>
      <c r="B75" s="62"/>
      <c r="C75" s="62"/>
      <c r="D75" s="62"/>
      <c r="E75" s="62"/>
      <c r="F75" s="62"/>
      <c r="G75" s="58"/>
      <c r="H75" s="58"/>
      <c r="I75" s="8"/>
    </row>
    <row r="76" spans="1:9" x14ac:dyDescent="0.25">
      <c r="A76" s="76">
        <v>19</v>
      </c>
      <c r="B76" s="75" t="s">
        <v>63</v>
      </c>
      <c r="C76" s="75"/>
      <c r="D76" s="75"/>
      <c r="E76" s="62" t="s">
        <v>25</v>
      </c>
      <c r="F76" s="62"/>
      <c r="G76" s="58" t="s">
        <v>8</v>
      </c>
      <c r="H76" s="58"/>
      <c r="I76" s="8"/>
    </row>
    <row r="77" spans="1:9" x14ac:dyDescent="0.25">
      <c r="A77" s="76"/>
      <c r="B77" s="75"/>
      <c r="C77" s="75"/>
      <c r="D77" s="75"/>
      <c r="E77" s="62"/>
      <c r="F77" s="62"/>
      <c r="G77" s="58" t="s">
        <v>64</v>
      </c>
      <c r="H77" s="58"/>
      <c r="I77" s="8"/>
    </row>
    <row r="78" spans="1:9" x14ac:dyDescent="0.25">
      <c r="A78" s="76"/>
      <c r="B78" s="75"/>
      <c r="C78" s="75"/>
      <c r="D78" s="75"/>
      <c r="E78" s="62"/>
      <c r="F78" s="62"/>
      <c r="G78" s="58" t="s">
        <v>65</v>
      </c>
      <c r="H78" s="58"/>
      <c r="I78" s="8"/>
    </row>
    <row r="79" spans="1:9" x14ac:dyDescent="0.25">
      <c r="A79" s="76"/>
      <c r="B79" s="75"/>
      <c r="C79" s="75"/>
      <c r="D79" s="75"/>
      <c r="E79" s="62"/>
      <c r="F79" s="62"/>
      <c r="G79" s="58"/>
      <c r="H79" s="58"/>
      <c r="I79" s="8"/>
    </row>
    <row r="80" spans="1:9" x14ac:dyDescent="0.25">
      <c r="A80" s="77">
        <v>20.45</v>
      </c>
      <c r="B80" s="78" t="s">
        <v>20</v>
      </c>
      <c r="C80" s="78"/>
      <c r="D80" s="78"/>
      <c r="E80" s="78" t="s">
        <v>25</v>
      </c>
      <c r="F80" s="62"/>
      <c r="G80" s="62"/>
      <c r="H80" s="62"/>
      <c r="I80" s="62"/>
    </row>
    <row r="81" spans="1:9" x14ac:dyDescent="0.25">
      <c r="A81" s="77"/>
      <c r="B81" s="78"/>
      <c r="C81" s="78"/>
      <c r="D81" s="78"/>
      <c r="E81" s="78"/>
      <c r="F81" s="62"/>
      <c r="G81" s="62"/>
      <c r="H81" s="62"/>
      <c r="I81" s="62"/>
    </row>
    <row r="82" spans="1:9" x14ac:dyDescent="0.25">
      <c r="A82" s="76">
        <v>21</v>
      </c>
      <c r="B82" s="62" t="s">
        <v>66</v>
      </c>
      <c r="C82" s="62"/>
      <c r="D82" s="62"/>
      <c r="E82" s="62" t="s">
        <v>25</v>
      </c>
      <c r="F82" s="62"/>
      <c r="G82" s="58" t="s">
        <v>67</v>
      </c>
      <c r="H82" s="58"/>
      <c r="I82" s="8"/>
    </row>
    <row r="83" spans="1:9" x14ac:dyDescent="0.25">
      <c r="A83" s="76"/>
      <c r="B83" s="62"/>
      <c r="C83" s="62"/>
      <c r="D83" s="62"/>
      <c r="E83" s="62"/>
      <c r="F83" s="62"/>
      <c r="G83" s="59" t="s">
        <v>68</v>
      </c>
      <c r="H83" s="59"/>
      <c r="I83" s="8"/>
    </row>
    <row r="84" spans="1:9" x14ac:dyDescent="0.25">
      <c r="A84" s="76"/>
      <c r="B84" s="62"/>
      <c r="C84" s="62"/>
      <c r="D84" s="62"/>
      <c r="E84" s="62"/>
      <c r="F84" s="62"/>
      <c r="G84" s="58"/>
      <c r="H84" s="58"/>
      <c r="I84" s="8"/>
    </row>
    <row r="85" spans="1:9" x14ac:dyDescent="0.25">
      <c r="A85" s="77">
        <v>22</v>
      </c>
      <c r="B85" s="78" t="s">
        <v>21</v>
      </c>
      <c r="C85" s="78"/>
      <c r="D85" s="78"/>
      <c r="E85" s="78" t="s">
        <v>25</v>
      </c>
      <c r="F85" s="62"/>
      <c r="G85" s="62"/>
      <c r="H85" s="62"/>
      <c r="I85" s="62"/>
    </row>
    <row r="86" spans="1:9" x14ac:dyDescent="0.25">
      <c r="A86" s="77"/>
      <c r="B86" s="78"/>
      <c r="C86" s="78"/>
      <c r="D86" s="78"/>
      <c r="E86" s="78"/>
      <c r="F86" s="62"/>
      <c r="G86" s="62"/>
      <c r="H86" s="62"/>
      <c r="I86" s="62"/>
    </row>
    <row r="87" spans="1:9" x14ac:dyDescent="0.25">
      <c r="G87" s="65"/>
      <c r="H87" s="65"/>
    </row>
    <row r="88" spans="1:9" x14ac:dyDescent="0.25">
      <c r="A88" s="5"/>
      <c r="B88" s="55"/>
      <c r="C88" s="55"/>
      <c r="D88" s="55"/>
      <c r="E88" s="2"/>
      <c r="G88" s="65"/>
      <c r="H88" s="65"/>
    </row>
    <row r="89" spans="1:9" x14ac:dyDescent="0.25">
      <c r="A89" s="5"/>
      <c r="B89" s="55"/>
      <c r="C89" s="55"/>
      <c r="D89" s="55"/>
      <c r="E89" s="2"/>
      <c r="G89" s="65"/>
      <c r="H89" s="65"/>
    </row>
    <row r="90" spans="1:9" x14ac:dyDescent="0.25">
      <c r="A90" s="5"/>
      <c r="B90" s="55"/>
      <c r="C90" s="55"/>
      <c r="D90" s="55"/>
      <c r="E90" s="2"/>
      <c r="G90" s="65"/>
      <c r="H90" s="65"/>
    </row>
    <row r="91" spans="1:9" x14ac:dyDescent="0.25">
      <c r="A91" s="5"/>
      <c r="B91" s="55"/>
      <c r="C91" s="55"/>
      <c r="D91" s="55"/>
      <c r="E91" s="2"/>
      <c r="G91" s="65"/>
      <c r="H91" s="65"/>
    </row>
    <row r="92" spans="1:9" x14ac:dyDescent="0.25">
      <c r="A92" s="5"/>
      <c r="B92" s="55"/>
      <c r="C92" s="55"/>
      <c r="D92" s="55"/>
      <c r="E92" s="2"/>
      <c r="G92" s="65"/>
      <c r="H92" s="65"/>
    </row>
    <row r="93" spans="1:9" x14ac:dyDescent="0.25">
      <c r="A93" s="5"/>
      <c r="B93" s="55"/>
      <c r="C93" s="55"/>
      <c r="D93" s="55"/>
      <c r="E93" s="2"/>
      <c r="G93" s="65"/>
      <c r="H93" s="65"/>
    </row>
    <row r="94" spans="1:9" ht="15.75" x14ac:dyDescent="0.25">
      <c r="A94" s="3" t="s">
        <v>70</v>
      </c>
    </row>
    <row r="95" spans="1:9" x14ac:dyDescent="0.25">
      <c r="A95" s="4" t="s">
        <v>1</v>
      </c>
    </row>
    <row r="96" spans="1:9" x14ac:dyDescent="0.25">
      <c r="A96" s="4" t="s">
        <v>2</v>
      </c>
    </row>
    <row r="97" spans="1:9" x14ac:dyDescent="0.25">
      <c r="A97" s="6" t="s">
        <v>24</v>
      </c>
      <c r="B97" s="72" t="s">
        <v>3</v>
      </c>
      <c r="C97" s="73"/>
      <c r="D97" s="74"/>
      <c r="E97" s="6" t="s">
        <v>23</v>
      </c>
      <c r="F97" s="6" t="s">
        <v>4</v>
      </c>
      <c r="G97" s="72" t="s">
        <v>5</v>
      </c>
      <c r="H97" s="74"/>
      <c r="I97" s="6" t="s">
        <v>6</v>
      </c>
    </row>
    <row r="98" spans="1:9" x14ac:dyDescent="0.25">
      <c r="A98" s="103" t="s">
        <v>79</v>
      </c>
      <c r="B98" s="78" t="s">
        <v>20</v>
      </c>
      <c r="C98" s="78"/>
      <c r="D98" s="78"/>
      <c r="E98" s="78" t="s">
        <v>25</v>
      </c>
      <c r="F98" s="62"/>
      <c r="G98" s="62"/>
      <c r="H98" s="62"/>
      <c r="I98" s="62"/>
    </row>
    <row r="99" spans="1:9" x14ac:dyDescent="0.25">
      <c r="A99" s="77"/>
      <c r="B99" s="78"/>
      <c r="C99" s="78"/>
      <c r="D99" s="78"/>
      <c r="E99" s="78"/>
      <c r="F99" s="62"/>
      <c r="G99" s="62"/>
      <c r="H99" s="62"/>
      <c r="I99" s="62"/>
    </row>
    <row r="100" spans="1:9" x14ac:dyDescent="0.25">
      <c r="A100" s="86" t="s">
        <v>37</v>
      </c>
      <c r="B100" s="62" t="s">
        <v>71</v>
      </c>
      <c r="C100" s="62"/>
      <c r="D100" s="62"/>
      <c r="E100" s="62" t="s">
        <v>25</v>
      </c>
      <c r="F100" s="62"/>
      <c r="G100" s="58" t="s">
        <v>73</v>
      </c>
      <c r="H100" s="58"/>
      <c r="I100" s="8"/>
    </row>
    <row r="101" spans="1:9" x14ac:dyDescent="0.25">
      <c r="A101" s="86"/>
      <c r="B101" s="62"/>
      <c r="C101" s="62"/>
      <c r="D101" s="62"/>
      <c r="E101" s="62"/>
      <c r="F101" s="62"/>
      <c r="G101" s="58" t="s">
        <v>72</v>
      </c>
      <c r="H101" s="58"/>
      <c r="I101" s="8"/>
    </row>
    <row r="102" spans="1:9" x14ac:dyDescent="0.25">
      <c r="A102" s="86"/>
      <c r="B102" s="62"/>
      <c r="C102" s="62"/>
      <c r="D102" s="62"/>
      <c r="E102" s="62"/>
      <c r="F102" s="62"/>
      <c r="G102" s="58" t="s">
        <v>74</v>
      </c>
      <c r="H102" s="58"/>
      <c r="I102" s="8"/>
    </row>
    <row r="103" spans="1:9" x14ac:dyDescent="0.25">
      <c r="A103" s="86"/>
      <c r="B103" s="62"/>
      <c r="C103" s="62"/>
      <c r="D103" s="62"/>
      <c r="E103" s="62"/>
      <c r="F103" s="62"/>
      <c r="G103" s="58"/>
      <c r="H103" s="58"/>
      <c r="I103" s="8"/>
    </row>
    <row r="104" spans="1:9" x14ac:dyDescent="0.25">
      <c r="A104" s="86"/>
      <c r="B104" s="62"/>
      <c r="C104" s="62"/>
      <c r="D104" s="62"/>
      <c r="E104" s="78" t="s">
        <v>75</v>
      </c>
      <c r="F104" s="62"/>
      <c r="G104" s="58" t="s">
        <v>73</v>
      </c>
      <c r="H104" s="58"/>
      <c r="I104" s="8"/>
    </row>
    <row r="105" spans="1:9" x14ac:dyDescent="0.25">
      <c r="A105" s="86"/>
      <c r="B105" s="62"/>
      <c r="C105" s="62"/>
      <c r="D105" s="62"/>
      <c r="E105" s="78"/>
      <c r="F105" s="62"/>
      <c r="G105" s="58" t="s">
        <v>72</v>
      </c>
      <c r="H105" s="58"/>
      <c r="I105" s="8"/>
    </row>
    <row r="106" spans="1:9" x14ac:dyDescent="0.25">
      <c r="A106" s="86"/>
      <c r="B106" s="62"/>
      <c r="C106" s="62"/>
      <c r="D106" s="62"/>
      <c r="E106" s="78"/>
      <c r="F106" s="62"/>
      <c r="G106" s="58" t="s">
        <v>95</v>
      </c>
      <c r="H106" s="58"/>
      <c r="I106" s="8"/>
    </row>
    <row r="107" spans="1:9" x14ac:dyDescent="0.25">
      <c r="A107" s="86"/>
      <c r="B107" s="62"/>
      <c r="C107" s="62"/>
      <c r="D107" s="62"/>
      <c r="E107" s="78"/>
      <c r="F107" s="62"/>
      <c r="G107" s="58"/>
      <c r="H107" s="58"/>
      <c r="I107" s="8"/>
    </row>
    <row r="108" spans="1:9" x14ac:dyDescent="0.25">
      <c r="A108" s="86"/>
      <c r="B108" s="62"/>
      <c r="C108" s="62"/>
      <c r="D108" s="62"/>
      <c r="E108" s="78" t="s">
        <v>76</v>
      </c>
      <c r="F108" s="62"/>
      <c r="G108" s="58" t="s">
        <v>73</v>
      </c>
      <c r="H108" s="58"/>
      <c r="I108" s="8"/>
    </row>
    <row r="109" spans="1:9" x14ac:dyDescent="0.25">
      <c r="A109" s="86"/>
      <c r="B109" s="62"/>
      <c r="C109" s="62"/>
      <c r="D109" s="62"/>
      <c r="E109" s="78"/>
      <c r="F109" s="62"/>
      <c r="G109" s="58" t="s">
        <v>72</v>
      </c>
      <c r="H109" s="58"/>
      <c r="I109" s="8"/>
    </row>
    <row r="110" spans="1:9" x14ac:dyDescent="0.25">
      <c r="A110" s="86"/>
      <c r="B110" s="62"/>
      <c r="C110" s="62"/>
      <c r="D110" s="62"/>
      <c r="E110" s="78"/>
      <c r="F110" s="62"/>
      <c r="G110" s="58" t="s">
        <v>95</v>
      </c>
      <c r="H110" s="58"/>
      <c r="I110" s="8"/>
    </row>
    <row r="111" spans="1:9" x14ac:dyDescent="0.25">
      <c r="A111" s="86"/>
      <c r="B111" s="62"/>
      <c r="C111" s="62"/>
      <c r="D111" s="62"/>
      <c r="E111" s="78"/>
      <c r="F111" s="62"/>
      <c r="G111" s="58"/>
      <c r="H111" s="58"/>
      <c r="I111" s="8"/>
    </row>
    <row r="112" spans="1:9" ht="15" customHeight="1" x14ac:dyDescent="0.25">
      <c r="A112" s="86" t="s">
        <v>77</v>
      </c>
      <c r="B112" s="75" t="s">
        <v>78</v>
      </c>
      <c r="C112" s="75"/>
      <c r="D112" s="75"/>
      <c r="E112" s="62" t="s">
        <v>25</v>
      </c>
      <c r="F112" s="62"/>
      <c r="G112" s="58" t="s">
        <v>8</v>
      </c>
      <c r="H112" s="58"/>
      <c r="I112" s="8"/>
    </row>
    <row r="113" spans="1:9" x14ac:dyDescent="0.25">
      <c r="A113" s="86"/>
      <c r="B113" s="75"/>
      <c r="C113" s="75"/>
      <c r="D113" s="75"/>
      <c r="E113" s="62"/>
      <c r="F113" s="62"/>
      <c r="G113" s="58" t="s">
        <v>80</v>
      </c>
      <c r="H113" s="58"/>
      <c r="I113" s="8"/>
    </row>
    <row r="114" spans="1:9" x14ac:dyDescent="0.25">
      <c r="A114" s="86"/>
      <c r="B114" s="75"/>
      <c r="C114" s="75"/>
      <c r="D114" s="75"/>
      <c r="E114" s="62"/>
      <c r="F114" s="62"/>
      <c r="G114" s="58" t="s">
        <v>81</v>
      </c>
      <c r="H114" s="58"/>
      <c r="I114" s="8"/>
    </row>
    <row r="115" spans="1:9" x14ac:dyDescent="0.25">
      <c r="A115" s="86"/>
      <c r="B115" s="75"/>
      <c r="C115" s="75"/>
      <c r="D115" s="75"/>
      <c r="E115" s="62"/>
      <c r="F115" s="62"/>
      <c r="G115" s="58" t="s">
        <v>82</v>
      </c>
      <c r="H115" s="58"/>
      <c r="I115" s="8"/>
    </row>
    <row r="116" spans="1:9" x14ac:dyDescent="0.25">
      <c r="A116" s="86"/>
      <c r="B116" s="75"/>
      <c r="C116" s="75"/>
      <c r="D116" s="75"/>
      <c r="E116" s="62"/>
      <c r="F116" s="62"/>
      <c r="G116" s="58" t="s">
        <v>83</v>
      </c>
      <c r="H116" s="58"/>
      <c r="I116" s="8"/>
    </row>
    <row r="117" spans="1:9" x14ac:dyDescent="0.25">
      <c r="A117" s="86"/>
      <c r="B117" s="75"/>
      <c r="C117" s="75"/>
      <c r="D117" s="75"/>
      <c r="E117" s="62"/>
      <c r="F117" s="62"/>
      <c r="G117" s="58"/>
      <c r="H117" s="58"/>
      <c r="I117" s="8"/>
    </row>
    <row r="118" spans="1:9" x14ac:dyDescent="0.25">
      <c r="A118" s="110">
        <v>11</v>
      </c>
      <c r="B118" s="67" t="s">
        <v>84</v>
      </c>
      <c r="C118" s="68"/>
      <c r="D118" s="69"/>
      <c r="E118" s="87" t="s">
        <v>85</v>
      </c>
      <c r="F118" s="87"/>
      <c r="G118" s="58" t="s">
        <v>43</v>
      </c>
      <c r="H118" s="58"/>
      <c r="I118" s="8"/>
    </row>
    <row r="119" spans="1:9" x14ac:dyDescent="0.25">
      <c r="A119" s="111"/>
      <c r="B119" s="104"/>
      <c r="C119" s="105"/>
      <c r="D119" s="106"/>
      <c r="E119" s="88"/>
      <c r="F119" s="88"/>
      <c r="G119" s="58" t="s">
        <v>86</v>
      </c>
      <c r="H119" s="58"/>
      <c r="I119" s="8"/>
    </row>
    <row r="120" spans="1:9" x14ac:dyDescent="0.25">
      <c r="A120" s="111"/>
      <c r="B120" s="104"/>
      <c r="C120" s="105"/>
      <c r="D120" s="106"/>
      <c r="E120" s="88"/>
      <c r="F120" s="88"/>
      <c r="G120" s="58" t="s">
        <v>87</v>
      </c>
      <c r="H120" s="58"/>
      <c r="I120" s="8"/>
    </row>
    <row r="121" spans="1:9" x14ac:dyDescent="0.25">
      <c r="A121" s="111"/>
      <c r="B121" s="104"/>
      <c r="C121" s="105"/>
      <c r="D121" s="106"/>
      <c r="E121" s="88"/>
      <c r="F121" s="88"/>
      <c r="G121" s="58" t="s">
        <v>88</v>
      </c>
      <c r="H121" s="58"/>
      <c r="I121" s="8"/>
    </row>
    <row r="122" spans="1:9" x14ac:dyDescent="0.25">
      <c r="A122" s="112"/>
      <c r="B122" s="107"/>
      <c r="C122" s="108"/>
      <c r="D122" s="109"/>
      <c r="E122" s="89"/>
      <c r="F122" s="89"/>
      <c r="G122" s="58"/>
      <c r="H122" s="58"/>
      <c r="I122" s="8"/>
    </row>
    <row r="123" spans="1:9" x14ac:dyDescent="0.25">
      <c r="A123" s="77">
        <v>11.45</v>
      </c>
      <c r="B123" s="78" t="s">
        <v>21</v>
      </c>
      <c r="C123" s="78"/>
      <c r="D123" s="78"/>
      <c r="E123" s="78" t="s">
        <v>25</v>
      </c>
      <c r="F123" s="62"/>
      <c r="G123" s="62"/>
      <c r="H123" s="62"/>
      <c r="I123" s="62"/>
    </row>
    <row r="124" spans="1:9" x14ac:dyDescent="0.25">
      <c r="A124" s="77"/>
      <c r="B124" s="78"/>
      <c r="C124" s="78"/>
      <c r="D124" s="78"/>
      <c r="E124" s="78"/>
      <c r="F124" s="62"/>
      <c r="G124" s="62"/>
      <c r="H124" s="62"/>
      <c r="I124" s="62"/>
    </row>
    <row r="125" spans="1:9" x14ac:dyDescent="0.25">
      <c r="A125" s="77">
        <v>12</v>
      </c>
      <c r="B125" s="78" t="s">
        <v>50</v>
      </c>
      <c r="C125" s="78"/>
      <c r="D125" s="78"/>
      <c r="E125" s="62"/>
      <c r="F125" s="62"/>
      <c r="G125" s="62"/>
      <c r="H125" s="62"/>
      <c r="I125" s="62"/>
    </row>
    <row r="126" spans="1:9" x14ac:dyDescent="0.25">
      <c r="A126" s="77"/>
      <c r="B126" s="78"/>
      <c r="C126" s="78"/>
      <c r="D126" s="78"/>
      <c r="E126" s="62"/>
      <c r="F126" s="62"/>
      <c r="G126" s="62"/>
      <c r="H126" s="62"/>
      <c r="I126" s="62"/>
    </row>
    <row r="127" spans="1:9" x14ac:dyDescent="0.25">
      <c r="A127" s="103">
        <v>13.15</v>
      </c>
      <c r="B127" s="78" t="s">
        <v>20</v>
      </c>
      <c r="C127" s="78"/>
      <c r="D127" s="78"/>
      <c r="E127" s="78" t="s">
        <v>25</v>
      </c>
      <c r="F127" s="62"/>
      <c r="G127" s="62"/>
      <c r="H127" s="62"/>
      <c r="I127" s="62"/>
    </row>
    <row r="128" spans="1:9" x14ac:dyDescent="0.25">
      <c r="A128" s="103"/>
      <c r="B128" s="78"/>
      <c r="C128" s="78"/>
      <c r="D128" s="78"/>
      <c r="E128" s="78"/>
      <c r="F128" s="62"/>
      <c r="G128" s="62"/>
      <c r="H128" s="62"/>
      <c r="I128" s="62"/>
    </row>
    <row r="129" spans="1:9" x14ac:dyDescent="0.25">
      <c r="A129" s="76">
        <v>13.3</v>
      </c>
      <c r="B129" s="62" t="s">
        <v>89</v>
      </c>
      <c r="C129" s="62"/>
      <c r="D129" s="62"/>
      <c r="E129" s="62" t="s">
        <v>25</v>
      </c>
      <c r="F129" s="62"/>
      <c r="G129" s="58" t="s">
        <v>8</v>
      </c>
      <c r="H129" s="58"/>
      <c r="I129" s="8"/>
    </row>
    <row r="130" spans="1:9" x14ac:dyDescent="0.25">
      <c r="A130" s="76"/>
      <c r="B130" s="62"/>
      <c r="C130" s="62"/>
      <c r="D130" s="62"/>
      <c r="E130" s="62"/>
      <c r="F130" s="62"/>
      <c r="G130" s="58" t="s">
        <v>90</v>
      </c>
      <c r="H130" s="58"/>
      <c r="I130" s="8"/>
    </row>
    <row r="131" spans="1:9" x14ac:dyDescent="0.25">
      <c r="A131" s="76"/>
      <c r="B131" s="62"/>
      <c r="C131" s="62"/>
      <c r="D131" s="62"/>
      <c r="E131" s="62"/>
      <c r="F131" s="62"/>
      <c r="G131" s="58" t="s">
        <v>10</v>
      </c>
      <c r="H131" s="58"/>
      <c r="I131" s="8"/>
    </row>
    <row r="132" spans="1:9" ht="15" customHeight="1" x14ac:dyDescent="0.25">
      <c r="A132" s="76"/>
      <c r="B132" s="62"/>
      <c r="C132" s="62"/>
      <c r="D132" s="62"/>
      <c r="E132" s="62"/>
      <c r="F132" s="62"/>
      <c r="G132" s="58" t="s">
        <v>91</v>
      </c>
      <c r="H132" s="58"/>
      <c r="I132" s="8"/>
    </row>
    <row r="133" spans="1:9" x14ac:dyDescent="0.25">
      <c r="A133" s="76"/>
      <c r="B133" s="62"/>
      <c r="C133" s="62"/>
      <c r="D133" s="62"/>
      <c r="E133" s="62"/>
      <c r="F133" s="62"/>
      <c r="G133" s="58"/>
      <c r="H133" s="58"/>
      <c r="I133" s="8"/>
    </row>
    <row r="134" spans="1:9" ht="18" customHeight="1" x14ac:dyDescent="0.25">
      <c r="A134" s="76">
        <v>15.3</v>
      </c>
      <c r="B134" s="62" t="s">
        <v>92</v>
      </c>
      <c r="C134" s="62"/>
      <c r="D134" s="62"/>
      <c r="E134" s="75" t="s">
        <v>52</v>
      </c>
      <c r="F134" s="62"/>
      <c r="G134" s="58" t="s">
        <v>93</v>
      </c>
      <c r="H134" s="58"/>
      <c r="I134" s="8"/>
    </row>
    <row r="135" spans="1:9" ht="18.75" customHeight="1" x14ac:dyDescent="0.25">
      <c r="A135" s="76"/>
      <c r="B135" s="62"/>
      <c r="C135" s="62"/>
      <c r="D135" s="62"/>
      <c r="E135" s="75"/>
      <c r="F135" s="62"/>
      <c r="G135" s="58" t="s">
        <v>94</v>
      </c>
      <c r="H135" s="58"/>
      <c r="I135" s="8"/>
    </row>
    <row r="136" spans="1:9" x14ac:dyDescent="0.25">
      <c r="A136" s="77">
        <v>16</v>
      </c>
      <c r="B136" s="78" t="s">
        <v>21</v>
      </c>
      <c r="C136" s="78"/>
      <c r="D136" s="78"/>
      <c r="E136" s="78" t="s">
        <v>25</v>
      </c>
      <c r="F136" s="62"/>
      <c r="G136" s="62"/>
      <c r="H136" s="62"/>
      <c r="I136" s="62"/>
    </row>
    <row r="137" spans="1:9" x14ac:dyDescent="0.25">
      <c r="A137" s="77"/>
      <c r="B137" s="78"/>
      <c r="C137" s="78"/>
      <c r="D137" s="78"/>
      <c r="E137" s="78"/>
      <c r="F137" s="62"/>
      <c r="G137" s="62"/>
      <c r="H137" s="62"/>
      <c r="I137" s="62"/>
    </row>
    <row r="138" spans="1:9" x14ac:dyDescent="0.25">
      <c r="A138" s="5"/>
      <c r="B138" s="55"/>
      <c r="C138" s="55"/>
      <c r="D138" s="55"/>
      <c r="E138" s="2"/>
      <c r="G138" s="65"/>
      <c r="H138" s="65"/>
    </row>
  </sheetData>
  <mergeCells count="245">
    <mergeCell ref="A118:A122"/>
    <mergeCell ref="A136:A137"/>
    <mergeCell ref="B136:D137"/>
    <mergeCell ref="E136:E137"/>
    <mergeCell ref="F136:I137"/>
    <mergeCell ref="F104:F107"/>
    <mergeCell ref="F108:F111"/>
    <mergeCell ref="E104:E107"/>
    <mergeCell ref="E108:E111"/>
    <mergeCell ref="B100:D111"/>
    <mergeCell ref="A100:A111"/>
    <mergeCell ref="A134:A135"/>
    <mergeCell ref="G110:H110"/>
    <mergeCell ref="G109:H109"/>
    <mergeCell ref="G105:H105"/>
    <mergeCell ref="G104:H104"/>
    <mergeCell ref="F118:F122"/>
    <mergeCell ref="A127:A128"/>
    <mergeCell ref="B127:D128"/>
    <mergeCell ref="E127:E128"/>
    <mergeCell ref="F127:I128"/>
    <mergeCell ref="A129:A133"/>
    <mergeCell ref="B129:D133"/>
    <mergeCell ref="A123:A124"/>
    <mergeCell ref="B123:D124"/>
    <mergeCell ref="E123:E124"/>
    <mergeCell ref="F123:I124"/>
    <mergeCell ref="A125:A126"/>
    <mergeCell ref="B125:D126"/>
    <mergeCell ref="E125:I126"/>
    <mergeCell ref="G129:H129"/>
    <mergeCell ref="G130:H130"/>
    <mergeCell ref="A98:A99"/>
    <mergeCell ref="B98:D99"/>
    <mergeCell ref="E98:E99"/>
    <mergeCell ref="F98:I99"/>
    <mergeCell ref="F112:F117"/>
    <mergeCell ref="E112:E117"/>
    <mergeCell ref="B112:D117"/>
    <mergeCell ref="A112:A117"/>
    <mergeCell ref="E118:E122"/>
    <mergeCell ref="E100:E103"/>
    <mergeCell ref="F100:F103"/>
    <mergeCell ref="G121:H121"/>
    <mergeCell ref="G122:H122"/>
    <mergeCell ref="B118:D122"/>
    <mergeCell ref="G118:H118"/>
    <mergeCell ref="G119:H119"/>
    <mergeCell ref="G120:H120"/>
    <mergeCell ref="G115:H115"/>
    <mergeCell ref="G116:H116"/>
    <mergeCell ref="G117:H117"/>
    <mergeCell ref="G112:H112"/>
    <mergeCell ref="G113:H113"/>
    <mergeCell ref="G114:H114"/>
    <mergeCell ref="G111:H111"/>
    <mergeCell ref="B138:D138"/>
    <mergeCell ref="G138:H138"/>
    <mergeCell ref="G135:H135"/>
    <mergeCell ref="F134:F135"/>
    <mergeCell ref="E134:E135"/>
    <mergeCell ref="B134:D135"/>
    <mergeCell ref="G132:H132"/>
    <mergeCell ref="G133:H133"/>
    <mergeCell ref="G134:H134"/>
    <mergeCell ref="E129:E133"/>
    <mergeCell ref="F129:F133"/>
    <mergeCell ref="G131:H131"/>
    <mergeCell ref="B89:D89"/>
    <mergeCell ref="G89:H89"/>
    <mergeCell ref="G84:H84"/>
    <mergeCell ref="G82:H82"/>
    <mergeCell ref="G108:H108"/>
    <mergeCell ref="G106:H106"/>
    <mergeCell ref="G107:H107"/>
    <mergeCell ref="G102:H102"/>
    <mergeCell ref="G103:H103"/>
    <mergeCell ref="B97:D97"/>
    <mergeCell ref="G97:H97"/>
    <mergeCell ref="G100:H100"/>
    <mergeCell ref="G101:H101"/>
    <mergeCell ref="A80:A81"/>
    <mergeCell ref="B80:D81"/>
    <mergeCell ref="E80:E81"/>
    <mergeCell ref="F80:I81"/>
    <mergeCell ref="G93:H93"/>
    <mergeCell ref="A76:A79"/>
    <mergeCell ref="A82:A84"/>
    <mergeCell ref="B82:D84"/>
    <mergeCell ref="E82:E84"/>
    <mergeCell ref="F82:F84"/>
    <mergeCell ref="B93:D93"/>
    <mergeCell ref="A85:A86"/>
    <mergeCell ref="B85:D86"/>
    <mergeCell ref="E85:E86"/>
    <mergeCell ref="F85:I86"/>
    <mergeCell ref="B90:D90"/>
    <mergeCell ref="G90:H90"/>
    <mergeCell ref="B91:D91"/>
    <mergeCell ref="G91:H91"/>
    <mergeCell ref="B92:D92"/>
    <mergeCell ref="G92:H92"/>
    <mergeCell ref="G87:H87"/>
    <mergeCell ref="B88:D88"/>
    <mergeCell ref="G88:H88"/>
    <mergeCell ref="A66:A72"/>
    <mergeCell ref="E76:E79"/>
    <mergeCell ref="F56:F63"/>
    <mergeCell ref="B56:D63"/>
    <mergeCell ref="A56:A63"/>
    <mergeCell ref="E64:I65"/>
    <mergeCell ref="B64:D65"/>
    <mergeCell ref="A64:A65"/>
    <mergeCell ref="G68:H68"/>
    <mergeCell ref="G69:H69"/>
    <mergeCell ref="G70:H70"/>
    <mergeCell ref="G66:H66"/>
    <mergeCell ref="G67:H67"/>
    <mergeCell ref="G62:H62"/>
    <mergeCell ref="G63:H63"/>
    <mergeCell ref="G59:H59"/>
    <mergeCell ref="G60:H60"/>
    <mergeCell ref="G61:H61"/>
    <mergeCell ref="G56:H56"/>
    <mergeCell ref="G57:H57"/>
    <mergeCell ref="G58:H58"/>
    <mergeCell ref="A73:A75"/>
    <mergeCell ref="B73:D75"/>
    <mergeCell ref="E73:E75"/>
    <mergeCell ref="A1:I2"/>
    <mergeCell ref="A52:A55"/>
    <mergeCell ref="E52:E55"/>
    <mergeCell ref="F52:F55"/>
    <mergeCell ref="A12:A14"/>
    <mergeCell ref="B12:D14"/>
    <mergeCell ref="A29:A30"/>
    <mergeCell ref="B29:D30"/>
    <mergeCell ref="E29:E30"/>
    <mergeCell ref="F29:I30"/>
    <mergeCell ref="A31:A33"/>
    <mergeCell ref="B31:D33"/>
    <mergeCell ref="E31:E33"/>
    <mergeCell ref="F31:F33"/>
    <mergeCell ref="A24:A25"/>
    <mergeCell ref="B24:D25"/>
    <mergeCell ref="E24:E25"/>
    <mergeCell ref="F24:I25"/>
    <mergeCell ref="A26:A28"/>
    <mergeCell ref="B26:D28"/>
    <mergeCell ref="E26:E28"/>
    <mergeCell ref="F26:F28"/>
    <mergeCell ref="A19:A20"/>
    <mergeCell ref="B19:D20"/>
    <mergeCell ref="A21:A23"/>
    <mergeCell ref="B21:D23"/>
    <mergeCell ref="F21:F23"/>
    <mergeCell ref="A8:A11"/>
    <mergeCell ref="B8:D11"/>
    <mergeCell ref="E8:E11"/>
    <mergeCell ref="F8:F11"/>
    <mergeCell ref="A15:A18"/>
    <mergeCell ref="B15:D18"/>
    <mergeCell ref="E15:E18"/>
    <mergeCell ref="F15:F18"/>
    <mergeCell ref="E12:E14"/>
    <mergeCell ref="F12:F14"/>
    <mergeCell ref="G83:H83"/>
    <mergeCell ref="G78:H78"/>
    <mergeCell ref="G79:H79"/>
    <mergeCell ref="B76:D79"/>
    <mergeCell ref="G75:H75"/>
    <mergeCell ref="G76:H76"/>
    <mergeCell ref="G77:H77"/>
    <mergeCell ref="G71:H71"/>
    <mergeCell ref="G73:H73"/>
    <mergeCell ref="G74:H74"/>
    <mergeCell ref="F66:F72"/>
    <mergeCell ref="E66:E72"/>
    <mergeCell ref="B66:D72"/>
    <mergeCell ref="F73:F75"/>
    <mergeCell ref="F76:F79"/>
    <mergeCell ref="B53:D53"/>
    <mergeCell ref="G53:H53"/>
    <mergeCell ref="B54:D54"/>
    <mergeCell ref="G54:H54"/>
    <mergeCell ref="B55:D55"/>
    <mergeCell ref="G55:H55"/>
    <mergeCell ref="B51:D51"/>
    <mergeCell ref="G51:H51"/>
    <mergeCell ref="B52:D52"/>
    <mergeCell ref="G52:H52"/>
    <mergeCell ref="B47:D47"/>
    <mergeCell ref="G47:H47"/>
    <mergeCell ref="B44:D44"/>
    <mergeCell ref="G44:H44"/>
    <mergeCell ref="B45:D45"/>
    <mergeCell ref="G45:H45"/>
    <mergeCell ref="B46:D46"/>
    <mergeCell ref="G46:H46"/>
    <mergeCell ref="B41:D41"/>
    <mergeCell ref="G41:H41"/>
    <mergeCell ref="B42:D42"/>
    <mergeCell ref="G42:H42"/>
    <mergeCell ref="B43:D43"/>
    <mergeCell ref="G43:H43"/>
    <mergeCell ref="B39:D39"/>
    <mergeCell ref="G39:H39"/>
    <mergeCell ref="B40:D40"/>
    <mergeCell ref="G40:H40"/>
    <mergeCell ref="B35:D35"/>
    <mergeCell ref="G35:H35"/>
    <mergeCell ref="B36:D36"/>
    <mergeCell ref="G36:H36"/>
    <mergeCell ref="B37:D37"/>
    <mergeCell ref="G37:H37"/>
    <mergeCell ref="G33:H33"/>
    <mergeCell ref="B34:D34"/>
    <mergeCell ref="G34:H34"/>
    <mergeCell ref="G31:H31"/>
    <mergeCell ref="G26:H26"/>
    <mergeCell ref="G27:H27"/>
    <mergeCell ref="G28:H28"/>
    <mergeCell ref="G23:H23"/>
    <mergeCell ref="B38:D38"/>
    <mergeCell ref="G38:H38"/>
    <mergeCell ref="G21:H21"/>
    <mergeCell ref="G22:H22"/>
    <mergeCell ref="G16:H16"/>
    <mergeCell ref="G17:H17"/>
    <mergeCell ref="G19:H19"/>
    <mergeCell ref="G18:H18"/>
    <mergeCell ref="G13:H13"/>
    <mergeCell ref="G14:H14"/>
    <mergeCell ref="G32:H32"/>
    <mergeCell ref="G10:H10"/>
    <mergeCell ref="G11:H11"/>
    <mergeCell ref="G15:H15"/>
    <mergeCell ref="G12:H12"/>
    <mergeCell ref="B7:D7"/>
    <mergeCell ref="G7:H7"/>
    <mergeCell ref="G8:H8"/>
    <mergeCell ref="G9:H9"/>
    <mergeCell ref="G20:H20"/>
    <mergeCell ref="E19:E20"/>
    <mergeCell ref="F19:F20"/>
  </mergeCells>
  <pageMargins left="0.7" right="0.7" top="0.75" bottom="0.75" header="0.3" footer="0.3"/>
  <pageSetup orientation="portrait" horizontalDpi="4294967293" verticalDpi="0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CBBD6B9-CDCA-4E25-9A9D-E8D9762667C3}">
  <dimension ref="A1:J41"/>
  <sheetViews>
    <sheetView tabSelected="1" view="pageLayout" zoomScaleNormal="100" workbookViewId="0">
      <selection activeCell="F5" sqref="F5"/>
    </sheetView>
  </sheetViews>
  <sheetFormatPr defaultRowHeight="15" x14ac:dyDescent="0.25"/>
  <cols>
    <col min="1" max="1" width="15.140625" customWidth="1"/>
    <col min="2" max="2" width="4.42578125" customWidth="1"/>
    <col min="3" max="3" width="31.5703125" customWidth="1"/>
    <col min="4" max="4" width="12" customWidth="1"/>
    <col min="5" max="5" width="14.5703125" customWidth="1"/>
    <col min="6" max="6" width="12.5703125" customWidth="1"/>
    <col min="7" max="7" width="14.42578125" customWidth="1"/>
    <col min="8" max="8" width="4.5703125" customWidth="1"/>
    <col min="9" max="9" width="50.85546875" customWidth="1"/>
    <col min="10" max="10" width="16" customWidth="1"/>
  </cols>
  <sheetData>
    <row r="1" spans="1:10" ht="18.75" customHeight="1" x14ac:dyDescent="0.25">
      <c r="A1" s="85" t="s">
        <v>206</v>
      </c>
      <c r="B1" s="85"/>
      <c r="C1" s="85"/>
      <c r="D1" s="85"/>
      <c r="E1" s="15"/>
      <c r="F1" s="15"/>
      <c r="G1" s="85" t="s">
        <v>217</v>
      </c>
      <c r="H1" s="85"/>
      <c r="I1" s="85"/>
      <c r="J1" s="85"/>
    </row>
    <row r="2" spans="1:10" ht="18.75" customHeight="1" x14ac:dyDescent="0.25">
      <c r="A2" s="85"/>
      <c r="B2" s="85"/>
      <c r="C2" s="85"/>
      <c r="D2" s="85"/>
      <c r="E2" s="15"/>
      <c r="F2" s="15"/>
      <c r="G2" s="85"/>
      <c r="H2" s="85"/>
      <c r="I2" s="85"/>
      <c r="J2" s="85"/>
    </row>
    <row r="3" spans="1:10" x14ac:dyDescent="0.25">
      <c r="A3" s="1" t="s">
        <v>216</v>
      </c>
      <c r="B3" s="2"/>
      <c r="C3" s="1"/>
      <c r="D3" s="2"/>
      <c r="E3" s="17"/>
      <c r="F3" s="17"/>
      <c r="G3" s="1" t="s">
        <v>216</v>
      </c>
      <c r="H3" s="2"/>
      <c r="I3" s="1"/>
      <c r="J3" s="2"/>
    </row>
    <row r="4" spans="1:10" x14ac:dyDescent="0.25">
      <c r="A4" s="7" t="s">
        <v>133</v>
      </c>
      <c r="B4" s="7" t="s">
        <v>130</v>
      </c>
      <c r="C4" s="7" t="s">
        <v>131</v>
      </c>
      <c r="D4" s="7" t="s">
        <v>132</v>
      </c>
      <c r="E4" s="16" t="s">
        <v>421</v>
      </c>
      <c r="F4" s="16" t="s">
        <v>6</v>
      </c>
      <c r="G4" s="7" t="s">
        <v>133</v>
      </c>
      <c r="H4" s="7" t="s">
        <v>130</v>
      </c>
      <c r="I4" s="7" t="s">
        <v>131</v>
      </c>
      <c r="J4" s="7" t="s">
        <v>132</v>
      </c>
    </row>
    <row r="5" spans="1:10" x14ac:dyDescent="0.25">
      <c r="A5" s="62" t="s">
        <v>11</v>
      </c>
      <c r="B5" s="19" t="s">
        <v>97</v>
      </c>
      <c r="C5" s="8" t="s">
        <v>135</v>
      </c>
      <c r="D5" s="7"/>
      <c r="E5" s="16"/>
      <c r="F5" s="16"/>
      <c r="G5" s="62" t="s">
        <v>194</v>
      </c>
      <c r="H5" s="19" t="s">
        <v>97</v>
      </c>
      <c r="I5" s="10" t="s">
        <v>195</v>
      </c>
      <c r="J5" s="7"/>
    </row>
    <row r="6" spans="1:10" x14ac:dyDescent="0.25">
      <c r="A6" s="62"/>
      <c r="B6" s="19" t="s">
        <v>98</v>
      </c>
      <c r="C6" s="8" t="s">
        <v>136</v>
      </c>
      <c r="D6" s="7"/>
      <c r="E6" s="16"/>
      <c r="F6" s="16"/>
      <c r="G6" s="62"/>
      <c r="H6" s="19" t="s">
        <v>98</v>
      </c>
      <c r="I6" s="10" t="s">
        <v>196</v>
      </c>
      <c r="J6" s="7"/>
    </row>
    <row r="7" spans="1:10" x14ac:dyDescent="0.25">
      <c r="A7" s="62"/>
      <c r="B7" s="19" t="s">
        <v>99</v>
      </c>
      <c r="C7" s="8" t="s">
        <v>137</v>
      </c>
      <c r="D7" s="7"/>
      <c r="E7" s="16"/>
      <c r="F7" s="16"/>
      <c r="G7" s="62"/>
      <c r="H7" s="19" t="s">
        <v>99</v>
      </c>
      <c r="I7" s="10" t="s">
        <v>197</v>
      </c>
      <c r="J7" s="7"/>
    </row>
    <row r="8" spans="1:10" x14ac:dyDescent="0.25">
      <c r="A8" s="62"/>
      <c r="B8" s="19" t="s">
        <v>100</v>
      </c>
      <c r="C8" s="8" t="s">
        <v>138</v>
      </c>
      <c r="D8" s="7"/>
      <c r="E8" s="16"/>
      <c r="F8" s="16"/>
      <c r="G8" s="62"/>
      <c r="H8" s="19" t="s">
        <v>100</v>
      </c>
      <c r="I8" s="10" t="s">
        <v>198</v>
      </c>
      <c r="J8" s="7"/>
    </row>
    <row r="9" spans="1:10" x14ac:dyDescent="0.25">
      <c r="A9" s="62"/>
      <c r="B9" s="19" t="s">
        <v>101</v>
      </c>
      <c r="C9" s="8" t="s">
        <v>174</v>
      </c>
      <c r="D9" s="7"/>
      <c r="E9" s="16"/>
      <c r="F9" s="16"/>
      <c r="G9" s="62"/>
      <c r="H9" s="19" t="s">
        <v>101</v>
      </c>
      <c r="I9" s="8" t="s">
        <v>199</v>
      </c>
      <c r="J9" s="7"/>
    </row>
    <row r="10" spans="1:10" x14ac:dyDescent="0.25">
      <c r="A10" s="62" t="s">
        <v>3</v>
      </c>
      <c r="B10" s="19" t="s">
        <v>102</v>
      </c>
      <c r="C10" s="8" t="s">
        <v>175</v>
      </c>
      <c r="D10" s="7"/>
      <c r="E10" s="16"/>
      <c r="F10" s="16"/>
      <c r="G10" s="62"/>
      <c r="H10" s="19" t="s">
        <v>102</v>
      </c>
      <c r="I10" s="8" t="s">
        <v>200</v>
      </c>
      <c r="J10" s="7"/>
    </row>
    <row r="11" spans="1:10" x14ac:dyDescent="0.25">
      <c r="A11" s="62"/>
      <c r="B11" s="19" t="s">
        <v>103</v>
      </c>
      <c r="C11" s="8" t="s">
        <v>147</v>
      </c>
      <c r="D11" s="7"/>
      <c r="E11" s="16"/>
      <c r="F11" s="16"/>
      <c r="G11" s="62"/>
      <c r="H11" s="19" t="s">
        <v>103</v>
      </c>
      <c r="I11" s="10" t="s">
        <v>201</v>
      </c>
      <c r="J11" s="7"/>
    </row>
    <row r="12" spans="1:10" x14ac:dyDescent="0.25">
      <c r="A12" s="62"/>
      <c r="B12" s="19" t="s">
        <v>104</v>
      </c>
      <c r="C12" s="8" t="s">
        <v>176</v>
      </c>
      <c r="D12" s="7"/>
      <c r="E12" s="16"/>
      <c r="F12" s="16"/>
      <c r="G12" s="62"/>
      <c r="H12" s="19" t="s">
        <v>104</v>
      </c>
      <c r="I12" s="10" t="s">
        <v>203</v>
      </c>
      <c r="J12" s="8"/>
    </row>
    <row r="13" spans="1:10" x14ac:dyDescent="0.25">
      <c r="A13" s="62"/>
      <c r="B13" s="19" t="s">
        <v>105</v>
      </c>
      <c r="C13" s="8" t="s">
        <v>177</v>
      </c>
      <c r="D13" s="7"/>
      <c r="E13" s="16"/>
      <c r="F13" s="16"/>
      <c r="G13" s="74"/>
      <c r="H13" s="19" t="s">
        <v>105</v>
      </c>
      <c r="I13" s="10" t="s">
        <v>204</v>
      </c>
      <c r="J13" s="8"/>
    </row>
    <row r="14" spans="1:10" x14ac:dyDescent="0.25">
      <c r="A14" s="62"/>
      <c r="B14" s="19" t="s">
        <v>106</v>
      </c>
      <c r="C14" s="8" t="s">
        <v>178</v>
      </c>
      <c r="D14" s="7"/>
      <c r="E14" s="16"/>
      <c r="F14" s="16"/>
    </row>
    <row r="15" spans="1:10" x14ac:dyDescent="0.25">
      <c r="A15" s="62"/>
      <c r="B15" s="19" t="s">
        <v>107</v>
      </c>
      <c r="C15" s="8" t="s">
        <v>179</v>
      </c>
      <c r="D15" s="7"/>
      <c r="E15" s="16"/>
      <c r="F15" s="16"/>
    </row>
    <row r="16" spans="1:10" x14ac:dyDescent="0.25">
      <c r="A16" s="62"/>
      <c r="B16" s="19" t="s">
        <v>108</v>
      </c>
      <c r="C16" s="10" t="s">
        <v>180</v>
      </c>
      <c r="D16" s="7"/>
      <c r="E16" s="16"/>
      <c r="F16" s="16"/>
    </row>
    <row r="17" spans="1:6" x14ac:dyDescent="0.25">
      <c r="A17" s="62"/>
      <c r="B17" s="19" t="s">
        <v>109</v>
      </c>
      <c r="C17" s="10" t="s">
        <v>181</v>
      </c>
      <c r="D17" s="7"/>
      <c r="E17" s="16"/>
      <c r="F17" s="16"/>
    </row>
    <row r="18" spans="1:6" x14ac:dyDescent="0.25">
      <c r="A18" s="62"/>
      <c r="B18" s="19" t="s">
        <v>110</v>
      </c>
      <c r="C18" s="10" t="s">
        <v>182</v>
      </c>
      <c r="D18" s="7"/>
      <c r="E18" s="16"/>
      <c r="F18" s="16"/>
    </row>
    <row r="19" spans="1:6" x14ac:dyDescent="0.25">
      <c r="A19" s="62"/>
      <c r="B19" s="19" t="s">
        <v>111</v>
      </c>
      <c r="C19" s="10" t="s">
        <v>183</v>
      </c>
      <c r="D19" s="7"/>
      <c r="E19" s="16"/>
      <c r="F19" s="16"/>
    </row>
    <row r="20" spans="1:6" x14ac:dyDescent="0.25">
      <c r="A20" s="62"/>
      <c r="B20" s="19" t="s">
        <v>112</v>
      </c>
      <c r="C20" s="10" t="s">
        <v>184</v>
      </c>
      <c r="D20" s="7"/>
      <c r="E20" s="16"/>
      <c r="F20" s="16"/>
    </row>
    <row r="21" spans="1:6" x14ac:dyDescent="0.25">
      <c r="A21" s="62"/>
      <c r="B21" s="19" t="s">
        <v>113</v>
      </c>
      <c r="C21" s="10" t="s">
        <v>185</v>
      </c>
      <c r="D21" s="7"/>
      <c r="E21" s="16"/>
      <c r="F21" s="16"/>
    </row>
    <row r="22" spans="1:6" x14ac:dyDescent="0.25">
      <c r="A22" s="62"/>
      <c r="B22" s="19" t="s">
        <v>114</v>
      </c>
      <c r="C22" s="10" t="s">
        <v>202</v>
      </c>
      <c r="D22" s="7"/>
      <c r="E22" s="16"/>
      <c r="F22" s="16"/>
    </row>
    <row r="23" spans="1:6" x14ac:dyDescent="0.25">
      <c r="A23" s="62"/>
      <c r="B23" s="19" t="s">
        <v>115</v>
      </c>
      <c r="C23" s="10" t="s">
        <v>186</v>
      </c>
      <c r="D23" s="7"/>
      <c r="E23" s="16"/>
      <c r="F23" s="16"/>
    </row>
    <row r="24" spans="1:6" x14ac:dyDescent="0.25">
      <c r="A24" s="62"/>
      <c r="B24" s="19" t="s">
        <v>116</v>
      </c>
      <c r="C24" s="10" t="s">
        <v>191</v>
      </c>
      <c r="D24" s="7"/>
      <c r="E24" s="16"/>
      <c r="F24" s="16"/>
    </row>
    <row r="25" spans="1:6" x14ac:dyDescent="0.25">
      <c r="A25" s="62"/>
      <c r="B25" s="19" t="s">
        <v>117</v>
      </c>
      <c r="C25" s="8" t="s">
        <v>192</v>
      </c>
      <c r="D25" s="7"/>
      <c r="E25" s="16"/>
      <c r="F25" s="16"/>
    </row>
    <row r="26" spans="1:6" x14ac:dyDescent="0.25">
      <c r="A26" s="62"/>
      <c r="B26" s="19" t="s">
        <v>118</v>
      </c>
      <c r="C26" s="8" t="s">
        <v>193</v>
      </c>
      <c r="D26" s="7"/>
      <c r="E26" s="16"/>
      <c r="F26" s="16"/>
    </row>
    <row r="27" spans="1:6" x14ac:dyDescent="0.25">
      <c r="A27" s="62" t="s">
        <v>194</v>
      </c>
      <c r="B27" s="19" t="s">
        <v>119</v>
      </c>
      <c r="C27" s="10" t="s">
        <v>195</v>
      </c>
      <c r="D27" s="7"/>
      <c r="E27" s="16"/>
      <c r="F27" s="16"/>
    </row>
    <row r="28" spans="1:6" x14ac:dyDescent="0.25">
      <c r="A28" s="62"/>
      <c r="B28" s="19" t="s">
        <v>120</v>
      </c>
      <c r="C28" s="10" t="s">
        <v>196</v>
      </c>
      <c r="D28" s="7"/>
      <c r="E28" s="16"/>
      <c r="F28" s="16"/>
    </row>
    <row r="29" spans="1:6" x14ac:dyDescent="0.25">
      <c r="A29" s="62"/>
      <c r="B29" s="19" t="s">
        <v>121</v>
      </c>
      <c r="C29" s="10" t="s">
        <v>197</v>
      </c>
      <c r="D29" s="7"/>
      <c r="E29" s="16"/>
      <c r="F29" s="16"/>
    </row>
    <row r="30" spans="1:6" x14ac:dyDescent="0.25">
      <c r="A30" s="62"/>
      <c r="B30" s="19" t="s">
        <v>122</v>
      </c>
      <c r="C30" s="10" t="s">
        <v>198</v>
      </c>
      <c r="D30" s="7"/>
      <c r="E30" s="16"/>
      <c r="F30" s="16"/>
    </row>
    <row r="31" spans="1:6" x14ac:dyDescent="0.25">
      <c r="A31" s="62"/>
      <c r="B31" s="19" t="s">
        <v>123</v>
      </c>
      <c r="C31" s="8" t="s">
        <v>199</v>
      </c>
      <c r="D31" s="7"/>
      <c r="E31" s="16"/>
      <c r="F31" s="16"/>
    </row>
    <row r="32" spans="1:6" x14ac:dyDescent="0.25">
      <c r="A32" s="62"/>
      <c r="B32" s="19" t="s">
        <v>124</v>
      </c>
      <c r="C32" s="8" t="s">
        <v>200</v>
      </c>
      <c r="D32" s="7"/>
      <c r="E32" s="16"/>
      <c r="F32" s="16"/>
    </row>
    <row r="33" spans="1:6" x14ac:dyDescent="0.25">
      <c r="A33" s="62"/>
      <c r="B33" s="19" t="s">
        <v>125</v>
      </c>
      <c r="C33" s="10" t="s">
        <v>201</v>
      </c>
      <c r="D33" s="7"/>
      <c r="E33" s="16"/>
      <c r="F33" s="16"/>
    </row>
    <row r="34" spans="1:6" x14ac:dyDescent="0.25">
      <c r="A34" s="62"/>
      <c r="B34" s="19" t="s">
        <v>126</v>
      </c>
      <c r="C34" s="10" t="s">
        <v>203</v>
      </c>
      <c r="D34" s="8"/>
      <c r="E34" s="8"/>
      <c r="F34" s="8"/>
    </row>
    <row r="35" spans="1:6" x14ac:dyDescent="0.25">
      <c r="A35" s="62"/>
      <c r="B35" s="19" t="s">
        <v>209</v>
      </c>
      <c r="C35" s="10" t="s">
        <v>204</v>
      </c>
      <c r="D35" s="8"/>
      <c r="E35" s="8"/>
      <c r="F35" s="8"/>
    </row>
    <row r="36" spans="1:6" x14ac:dyDescent="0.25">
      <c r="A36" s="62" t="s">
        <v>205</v>
      </c>
      <c r="B36" s="19" t="s">
        <v>210</v>
      </c>
      <c r="C36" s="8" t="s">
        <v>187</v>
      </c>
      <c r="D36" s="8"/>
      <c r="E36" s="8"/>
      <c r="F36" s="8"/>
    </row>
    <row r="37" spans="1:6" x14ac:dyDescent="0.25">
      <c r="A37" s="62"/>
      <c r="B37" s="19" t="s">
        <v>211</v>
      </c>
      <c r="C37" s="8" t="s">
        <v>188</v>
      </c>
      <c r="D37" s="8"/>
      <c r="E37" s="8"/>
      <c r="F37" s="8"/>
    </row>
    <row r="38" spans="1:6" x14ac:dyDescent="0.25">
      <c r="A38" s="62"/>
      <c r="B38" s="19" t="s">
        <v>212</v>
      </c>
      <c r="C38" s="8" t="s">
        <v>189</v>
      </c>
      <c r="D38" s="8"/>
      <c r="E38" s="8"/>
      <c r="F38" s="8"/>
    </row>
    <row r="39" spans="1:6" x14ac:dyDescent="0.25">
      <c r="A39" s="62"/>
      <c r="B39" s="19" t="s">
        <v>213</v>
      </c>
      <c r="C39" s="8" t="s">
        <v>190</v>
      </c>
      <c r="D39" s="8"/>
      <c r="E39" s="8"/>
      <c r="F39" s="8"/>
    </row>
    <row r="40" spans="1:6" x14ac:dyDescent="0.25">
      <c r="A40" s="62" t="s">
        <v>207</v>
      </c>
      <c r="B40" s="19" t="s">
        <v>214</v>
      </c>
      <c r="C40" s="8" t="s">
        <v>149</v>
      </c>
      <c r="D40" s="8"/>
      <c r="E40" s="8"/>
      <c r="F40" s="8"/>
    </row>
    <row r="41" spans="1:6" x14ac:dyDescent="0.25">
      <c r="A41" s="62"/>
      <c r="B41" s="19" t="s">
        <v>215</v>
      </c>
      <c r="C41" s="8" t="s">
        <v>208</v>
      </c>
      <c r="D41" s="8"/>
      <c r="E41" s="8"/>
      <c r="F41" s="8"/>
    </row>
  </sheetData>
  <mergeCells count="8">
    <mergeCell ref="A10:A26"/>
    <mergeCell ref="A5:A9"/>
    <mergeCell ref="A1:D2"/>
    <mergeCell ref="G1:J2"/>
    <mergeCell ref="G5:G13"/>
    <mergeCell ref="A40:A41"/>
    <mergeCell ref="A36:A39"/>
    <mergeCell ref="A27:A35"/>
  </mergeCells>
  <phoneticPr fontId="4" type="noConversion"/>
  <pageMargins left="0.7" right="0.7" top="0.75" bottom="0.75" header="0.3" footer="0.3"/>
  <pageSetup orientation="portrait" horizontalDpi="4294967293" verticalDpi="0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1322E74-9D6A-43DA-B8FA-4446AE1019B7}">
  <dimension ref="A2:G117"/>
  <sheetViews>
    <sheetView topLeftCell="A92" zoomScale="85" zoomScaleNormal="85" workbookViewId="0">
      <selection activeCell="B4" sqref="B4:B5"/>
    </sheetView>
  </sheetViews>
  <sheetFormatPr defaultRowHeight="15" x14ac:dyDescent="0.25"/>
  <cols>
    <col min="1" max="1" width="4.42578125" style="21" customWidth="1"/>
    <col min="2" max="2" width="23.28515625" style="20" customWidth="1"/>
    <col min="3" max="3" width="10.42578125" style="21" customWidth="1"/>
    <col min="4" max="4" width="8" style="21" customWidth="1"/>
    <col min="5" max="5" width="12" style="20" customWidth="1"/>
    <col min="6" max="6" width="11.5703125" style="20" customWidth="1"/>
    <col min="7" max="7" width="11.85546875" style="20" customWidth="1"/>
    <col min="8" max="16384" width="9.140625" style="20"/>
  </cols>
  <sheetData>
    <row r="2" spans="1:7" x14ac:dyDescent="0.25">
      <c r="A2" s="113" t="s">
        <v>345</v>
      </c>
      <c r="B2" s="113"/>
      <c r="C2" s="113"/>
      <c r="D2" s="113"/>
      <c r="E2" s="113"/>
      <c r="F2" s="113"/>
      <c r="G2" s="113"/>
    </row>
    <row r="4" spans="1:7" x14ac:dyDescent="0.25">
      <c r="A4" s="113" t="s">
        <v>290</v>
      </c>
      <c r="B4" s="113" t="s">
        <v>289</v>
      </c>
      <c r="C4" s="113" t="s">
        <v>288</v>
      </c>
      <c r="D4" s="113" t="s">
        <v>287</v>
      </c>
      <c r="E4" s="28" t="s">
        <v>286</v>
      </c>
      <c r="F4" s="28" t="s">
        <v>132</v>
      </c>
      <c r="G4" s="28" t="s">
        <v>285</v>
      </c>
    </row>
    <row r="5" spans="1:7" x14ac:dyDescent="0.25">
      <c r="A5" s="113"/>
      <c r="B5" s="113"/>
      <c r="C5" s="113"/>
      <c r="D5" s="113"/>
      <c r="E5" s="28" t="s">
        <v>284</v>
      </c>
      <c r="F5" s="28" t="s">
        <v>283</v>
      </c>
      <c r="G5" s="28" t="s">
        <v>283</v>
      </c>
    </row>
    <row r="6" spans="1:7" x14ac:dyDescent="0.25">
      <c r="A6" s="29">
        <v>1</v>
      </c>
      <c r="B6" s="29">
        <v>2</v>
      </c>
      <c r="C6" s="29">
        <v>3</v>
      </c>
      <c r="D6" s="29">
        <v>4</v>
      </c>
      <c r="E6" s="30">
        <v>5</v>
      </c>
      <c r="F6" s="29">
        <v>6</v>
      </c>
      <c r="G6" s="29">
        <v>7</v>
      </c>
    </row>
    <row r="7" spans="1:7" x14ac:dyDescent="0.25">
      <c r="A7" s="28" t="s">
        <v>344</v>
      </c>
      <c r="B7" s="25" t="s">
        <v>343</v>
      </c>
      <c r="D7" s="21">
        <v>68</v>
      </c>
      <c r="G7" s="26">
        <v>16976000</v>
      </c>
    </row>
    <row r="8" spans="1:7" x14ac:dyDescent="0.25">
      <c r="A8" s="28" t="s">
        <v>342</v>
      </c>
      <c r="B8" s="25" t="s">
        <v>5</v>
      </c>
      <c r="G8" s="27">
        <v>16976000</v>
      </c>
    </row>
    <row r="9" spans="1:7" x14ac:dyDescent="0.25">
      <c r="A9" s="21">
        <v>1</v>
      </c>
      <c r="B9" s="20" t="s">
        <v>143</v>
      </c>
      <c r="C9" s="21" t="s">
        <v>340</v>
      </c>
      <c r="D9" s="21">
        <v>3</v>
      </c>
      <c r="E9" s="26">
        <v>250000</v>
      </c>
      <c r="F9" s="26">
        <f t="shared" ref="F9:F42" si="0">D9*E9</f>
        <v>750000</v>
      </c>
      <c r="G9" s="26">
        <f t="shared" ref="G9:G40" si="1">G8-F9</f>
        <v>16226000</v>
      </c>
    </row>
    <row r="10" spans="1:7" x14ac:dyDescent="0.25">
      <c r="A10" s="21">
        <v>2</v>
      </c>
      <c r="B10" s="20" t="s">
        <v>149</v>
      </c>
      <c r="C10" s="21" t="s">
        <v>230</v>
      </c>
      <c r="D10" s="21">
        <v>3</v>
      </c>
      <c r="E10" s="26">
        <v>250000</v>
      </c>
      <c r="F10" s="26">
        <f t="shared" si="0"/>
        <v>750000</v>
      </c>
      <c r="G10" s="26">
        <f t="shared" si="1"/>
        <v>15476000</v>
      </c>
    </row>
    <row r="11" spans="1:7" x14ac:dyDescent="0.25">
      <c r="A11" s="21">
        <v>3</v>
      </c>
      <c r="B11" s="20" t="s">
        <v>341</v>
      </c>
      <c r="C11" s="21" t="s">
        <v>340</v>
      </c>
      <c r="D11" s="21">
        <v>1</v>
      </c>
      <c r="E11" s="26">
        <v>700000</v>
      </c>
      <c r="F11" s="26">
        <f t="shared" si="0"/>
        <v>700000</v>
      </c>
      <c r="G11" s="26">
        <f t="shared" si="1"/>
        <v>14776000</v>
      </c>
    </row>
    <row r="12" spans="1:7" x14ac:dyDescent="0.25">
      <c r="A12" s="21">
        <v>4</v>
      </c>
      <c r="B12" s="20" t="s">
        <v>151</v>
      </c>
      <c r="C12" s="21" t="s">
        <v>339</v>
      </c>
      <c r="D12" s="21">
        <v>20</v>
      </c>
      <c r="E12" s="26">
        <v>25000</v>
      </c>
      <c r="F12" s="26">
        <f t="shared" si="0"/>
        <v>500000</v>
      </c>
      <c r="G12" s="26">
        <f t="shared" si="1"/>
        <v>14276000</v>
      </c>
    </row>
    <row r="13" spans="1:7" x14ac:dyDescent="0.25">
      <c r="A13" s="21">
        <v>5</v>
      </c>
      <c r="B13" s="20" t="s">
        <v>338</v>
      </c>
      <c r="C13" s="21" t="s">
        <v>246</v>
      </c>
      <c r="D13" s="21">
        <v>9</v>
      </c>
      <c r="E13" s="26">
        <v>100000</v>
      </c>
      <c r="F13" s="26">
        <f t="shared" si="0"/>
        <v>900000</v>
      </c>
      <c r="G13" s="26">
        <f t="shared" si="1"/>
        <v>13376000</v>
      </c>
    </row>
    <row r="14" spans="1:7" x14ac:dyDescent="0.25">
      <c r="A14" s="21">
        <v>6</v>
      </c>
      <c r="B14" s="20" t="s">
        <v>337</v>
      </c>
      <c r="C14" s="21" t="s">
        <v>246</v>
      </c>
      <c r="D14" s="21">
        <v>45</v>
      </c>
      <c r="E14" s="26">
        <v>75000</v>
      </c>
      <c r="F14" s="26">
        <f t="shared" si="0"/>
        <v>3375000</v>
      </c>
      <c r="G14" s="26">
        <f t="shared" si="1"/>
        <v>10001000</v>
      </c>
    </row>
    <row r="15" spans="1:7" x14ac:dyDescent="0.25">
      <c r="A15" s="21">
        <v>7</v>
      </c>
      <c r="B15" s="20" t="s">
        <v>336</v>
      </c>
      <c r="C15" s="21" t="s">
        <v>268</v>
      </c>
      <c r="D15" s="21">
        <v>17</v>
      </c>
      <c r="E15" s="26">
        <v>32000</v>
      </c>
      <c r="F15" s="26">
        <f t="shared" si="0"/>
        <v>544000</v>
      </c>
      <c r="G15" s="26">
        <f t="shared" si="1"/>
        <v>9457000</v>
      </c>
    </row>
    <row r="16" spans="1:7" x14ac:dyDescent="0.25">
      <c r="A16" s="21">
        <v>8</v>
      </c>
      <c r="B16" s="20" t="s">
        <v>335</v>
      </c>
      <c r="C16" s="21" t="s">
        <v>246</v>
      </c>
      <c r="D16" s="21">
        <v>2</v>
      </c>
      <c r="E16" s="26">
        <v>170000</v>
      </c>
      <c r="F16" s="26">
        <f t="shared" si="0"/>
        <v>340000</v>
      </c>
      <c r="G16" s="26">
        <f t="shared" si="1"/>
        <v>9117000</v>
      </c>
    </row>
    <row r="17" spans="1:7" x14ac:dyDescent="0.25">
      <c r="A17" s="21">
        <v>9</v>
      </c>
      <c r="B17" s="20" t="s">
        <v>334</v>
      </c>
      <c r="C17" s="21" t="s">
        <v>256</v>
      </c>
      <c r="D17" s="21">
        <v>3</v>
      </c>
      <c r="E17" s="26">
        <v>13000</v>
      </c>
      <c r="F17" s="26">
        <f t="shared" si="0"/>
        <v>39000</v>
      </c>
      <c r="G17" s="26">
        <f t="shared" si="1"/>
        <v>9078000</v>
      </c>
    </row>
    <row r="18" spans="1:7" x14ac:dyDescent="0.25">
      <c r="A18" s="21">
        <v>10</v>
      </c>
      <c r="B18" s="20" t="s">
        <v>282</v>
      </c>
      <c r="C18" s="21" t="s">
        <v>273</v>
      </c>
      <c r="D18" s="21">
        <v>1</v>
      </c>
      <c r="E18" s="26">
        <v>12000</v>
      </c>
      <c r="F18" s="26">
        <f t="shared" si="0"/>
        <v>12000</v>
      </c>
      <c r="G18" s="26">
        <f t="shared" si="1"/>
        <v>9066000</v>
      </c>
    </row>
    <row r="19" spans="1:7" x14ac:dyDescent="0.25">
      <c r="A19" s="21">
        <v>11</v>
      </c>
      <c r="B19" s="20" t="s">
        <v>333</v>
      </c>
      <c r="C19" s="21" t="s">
        <v>273</v>
      </c>
      <c r="D19" s="21">
        <v>3</v>
      </c>
      <c r="E19" s="26">
        <v>14000</v>
      </c>
      <c r="F19" s="26">
        <f t="shared" si="0"/>
        <v>42000</v>
      </c>
      <c r="G19" s="26">
        <f t="shared" si="1"/>
        <v>9024000</v>
      </c>
    </row>
    <row r="20" spans="1:7" x14ac:dyDescent="0.25">
      <c r="A20" s="21">
        <v>12</v>
      </c>
      <c r="B20" s="20" t="s">
        <v>332</v>
      </c>
      <c r="C20" s="21" t="s">
        <v>256</v>
      </c>
      <c r="D20" s="21">
        <v>3</v>
      </c>
      <c r="E20" s="26">
        <v>15500</v>
      </c>
      <c r="F20" s="26">
        <f t="shared" si="0"/>
        <v>46500</v>
      </c>
      <c r="G20" s="26">
        <f t="shared" si="1"/>
        <v>8977500</v>
      </c>
    </row>
    <row r="21" spans="1:7" x14ac:dyDescent="0.25">
      <c r="A21" s="21">
        <v>13</v>
      </c>
      <c r="B21" s="20" t="s">
        <v>331</v>
      </c>
      <c r="C21" s="21" t="s">
        <v>273</v>
      </c>
      <c r="D21" s="21">
        <v>4</v>
      </c>
      <c r="E21" s="26">
        <v>3000</v>
      </c>
      <c r="F21" s="26">
        <f t="shared" si="0"/>
        <v>12000</v>
      </c>
      <c r="G21" s="26">
        <f t="shared" si="1"/>
        <v>8965500</v>
      </c>
    </row>
    <row r="22" spans="1:7" x14ac:dyDescent="0.25">
      <c r="A22" s="21">
        <v>14</v>
      </c>
      <c r="B22" s="20" t="s">
        <v>309</v>
      </c>
      <c r="C22" s="21" t="s">
        <v>273</v>
      </c>
      <c r="D22" s="21">
        <v>1</v>
      </c>
      <c r="E22" s="26">
        <v>25200</v>
      </c>
      <c r="F22" s="26">
        <f t="shared" si="0"/>
        <v>25200</v>
      </c>
      <c r="G22" s="26">
        <f t="shared" si="1"/>
        <v>8940300</v>
      </c>
    </row>
    <row r="23" spans="1:7" x14ac:dyDescent="0.25">
      <c r="A23" s="21">
        <v>15</v>
      </c>
      <c r="B23" s="20" t="s">
        <v>330</v>
      </c>
      <c r="C23" s="21" t="s">
        <v>270</v>
      </c>
      <c r="D23" s="21">
        <v>1</v>
      </c>
      <c r="E23" s="26">
        <v>9000</v>
      </c>
      <c r="F23" s="26">
        <f t="shared" si="0"/>
        <v>9000</v>
      </c>
      <c r="G23" s="26">
        <f t="shared" si="1"/>
        <v>8931300</v>
      </c>
    </row>
    <row r="24" spans="1:7" x14ac:dyDescent="0.25">
      <c r="A24" s="21">
        <v>16</v>
      </c>
      <c r="B24" s="20" t="s">
        <v>329</v>
      </c>
      <c r="C24" s="21" t="s">
        <v>273</v>
      </c>
      <c r="D24" s="21">
        <v>1</v>
      </c>
      <c r="E24" s="26">
        <v>60000</v>
      </c>
      <c r="F24" s="26">
        <f t="shared" si="0"/>
        <v>60000</v>
      </c>
      <c r="G24" s="26">
        <f t="shared" si="1"/>
        <v>8871300</v>
      </c>
    </row>
    <row r="25" spans="1:7" x14ac:dyDescent="0.25">
      <c r="A25" s="21">
        <v>17</v>
      </c>
      <c r="B25" s="20" t="s">
        <v>328</v>
      </c>
      <c r="C25" s="21" t="s">
        <v>246</v>
      </c>
      <c r="D25" s="21">
        <v>1</v>
      </c>
      <c r="E25" s="26">
        <v>52000</v>
      </c>
      <c r="F25" s="26">
        <f t="shared" si="0"/>
        <v>52000</v>
      </c>
      <c r="G25" s="26">
        <f t="shared" si="1"/>
        <v>8819300</v>
      </c>
    </row>
    <row r="26" spans="1:7" x14ac:dyDescent="0.25">
      <c r="A26" s="21">
        <v>18</v>
      </c>
      <c r="B26" s="20" t="s">
        <v>327</v>
      </c>
      <c r="C26" s="21" t="s">
        <v>273</v>
      </c>
      <c r="D26" s="21">
        <v>6</v>
      </c>
      <c r="E26" s="26">
        <v>5000</v>
      </c>
      <c r="F26" s="26">
        <f t="shared" si="0"/>
        <v>30000</v>
      </c>
      <c r="G26" s="26">
        <f t="shared" si="1"/>
        <v>8789300</v>
      </c>
    </row>
    <row r="27" spans="1:7" x14ac:dyDescent="0.25">
      <c r="A27" s="21">
        <v>19</v>
      </c>
      <c r="B27" s="20" t="s">
        <v>326</v>
      </c>
      <c r="C27" s="21" t="s">
        <v>325</v>
      </c>
      <c r="D27" s="21">
        <v>1</v>
      </c>
      <c r="E27" s="26">
        <v>15000</v>
      </c>
      <c r="F27" s="26">
        <f t="shared" si="0"/>
        <v>15000</v>
      </c>
      <c r="G27" s="26">
        <f t="shared" si="1"/>
        <v>8774300</v>
      </c>
    </row>
    <row r="28" spans="1:7" x14ac:dyDescent="0.25">
      <c r="A28" s="21">
        <v>20</v>
      </c>
      <c r="B28" s="20" t="s">
        <v>324</v>
      </c>
      <c r="C28" s="21" t="s">
        <v>273</v>
      </c>
      <c r="D28" s="21">
        <v>1</v>
      </c>
      <c r="E28" s="26">
        <v>4000</v>
      </c>
      <c r="F28" s="26">
        <f t="shared" si="0"/>
        <v>4000</v>
      </c>
      <c r="G28" s="26">
        <f t="shared" si="1"/>
        <v>8770300</v>
      </c>
    </row>
    <row r="29" spans="1:7" x14ac:dyDescent="0.25">
      <c r="A29" s="21">
        <v>21</v>
      </c>
      <c r="B29" s="20" t="s">
        <v>323</v>
      </c>
      <c r="C29" s="21" t="s">
        <v>256</v>
      </c>
      <c r="D29" s="21">
        <v>1</v>
      </c>
      <c r="E29" s="26">
        <v>19000</v>
      </c>
      <c r="F29" s="26">
        <f t="shared" si="0"/>
        <v>19000</v>
      </c>
      <c r="G29" s="26">
        <f t="shared" si="1"/>
        <v>8751300</v>
      </c>
    </row>
    <row r="30" spans="1:7" x14ac:dyDescent="0.25">
      <c r="A30" s="21">
        <v>22</v>
      </c>
      <c r="B30" s="20" t="s">
        <v>322</v>
      </c>
      <c r="C30" s="21" t="s">
        <v>280</v>
      </c>
      <c r="D30" s="21">
        <v>1</v>
      </c>
      <c r="E30" s="26">
        <v>8000</v>
      </c>
      <c r="F30" s="26">
        <f t="shared" si="0"/>
        <v>8000</v>
      </c>
      <c r="G30" s="26">
        <f t="shared" si="1"/>
        <v>8743300</v>
      </c>
    </row>
    <row r="31" spans="1:7" x14ac:dyDescent="0.25">
      <c r="A31" s="21">
        <v>23</v>
      </c>
      <c r="B31" s="20" t="s">
        <v>321</v>
      </c>
      <c r="C31" s="21" t="s">
        <v>320</v>
      </c>
      <c r="D31" s="21">
        <v>1</v>
      </c>
      <c r="E31" s="26">
        <v>10000</v>
      </c>
      <c r="F31" s="26">
        <f t="shared" si="0"/>
        <v>10000</v>
      </c>
      <c r="G31" s="26">
        <f t="shared" si="1"/>
        <v>8733300</v>
      </c>
    </row>
    <row r="32" spans="1:7" x14ac:dyDescent="0.25">
      <c r="A32" s="21">
        <v>24</v>
      </c>
      <c r="B32" s="20" t="s">
        <v>319</v>
      </c>
      <c r="C32" s="21" t="s">
        <v>273</v>
      </c>
      <c r="D32" s="21">
        <v>1</v>
      </c>
      <c r="E32" s="32">
        <v>10000</v>
      </c>
      <c r="F32" s="32">
        <f t="shared" si="0"/>
        <v>10000</v>
      </c>
      <c r="G32" s="32">
        <f t="shared" si="1"/>
        <v>8723300</v>
      </c>
    </row>
    <row r="33" spans="1:7" x14ac:dyDescent="0.25">
      <c r="A33" s="21">
        <v>25</v>
      </c>
      <c r="B33" s="20" t="s">
        <v>318</v>
      </c>
      <c r="C33" s="21" t="s">
        <v>317</v>
      </c>
      <c r="D33" s="21">
        <v>2</v>
      </c>
      <c r="E33" s="26">
        <v>10000</v>
      </c>
      <c r="F33" s="26">
        <f t="shared" si="0"/>
        <v>20000</v>
      </c>
      <c r="G33" s="26">
        <f t="shared" si="1"/>
        <v>8703300</v>
      </c>
    </row>
    <row r="34" spans="1:7" x14ac:dyDescent="0.25">
      <c r="A34" s="21">
        <v>26</v>
      </c>
      <c r="B34" s="20" t="s">
        <v>316</v>
      </c>
      <c r="C34" s="21" t="s">
        <v>244</v>
      </c>
      <c r="D34" s="21">
        <v>1</v>
      </c>
      <c r="E34" s="26">
        <v>10000</v>
      </c>
      <c r="F34" s="26">
        <f t="shared" si="0"/>
        <v>10000</v>
      </c>
      <c r="G34" s="26">
        <f t="shared" si="1"/>
        <v>8693300</v>
      </c>
    </row>
    <row r="35" spans="1:7" x14ac:dyDescent="0.25">
      <c r="A35" s="21">
        <v>27</v>
      </c>
      <c r="B35" s="20" t="s">
        <v>315</v>
      </c>
      <c r="C35" s="21" t="s">
        <v>244</v>
      </c>
      <c r="D35" s="21">
        <v>1</v>
      </c>
      <c r="E35" s="26">
        <v>21000</v>
      </c>
      <c r="F35" s="26">
        <f t="shared" si="0"/>
        <v>21000</v>
      </c>
      <c r="G35" s="26">
        <f t="shared" si="1"/>
        <v>8672300</v>
      </c>
    </row>
    <row r="36" spans="1:7" x14ac:dyDescent="0.25">
      <c r="A36" s="21">
        <v>28</v>
      </c>
      <c r="B36" s="20" t="s">
        <v>314</v>
      </c>
      <c r="C36" s="21" t="s">
        <v>270</v>
      </c>
      <c r="D36" s="21">
        <v>3</v>
      </c>
      <c r="E36" s="26">
        <v>2000</v>
      </c>
      <c r="F36" s="26">
        <f t="shared" si="0"/>
        <v>6000</v>
      </c>
      <c r="G36" s="26">
        <f t="shared" si="1"/>
        <v>8666300</v>
      </c>
    </row>
    <row r="37" spans="1:7" x14ac:dyDescent="0.25">
      <c r="A37" s="21">
        <v>29</v>
      </c>
      <c r="B37" s="20" t="s">
        <v>313</v>
      </c>
      <c r="C37" s="21" t="s">
        <v>270</v>
      </c>
      <c r="D37" s="21">
        <v>3</v>
      </c>
      <c r="E37" s="26">
        <v>15000</v>
      </c>
      <c r="F37" s="26">
        <f t="shared" si="0"/>
        <v>45000</v>
      </c>
      <c r="G37" s="26">
        <f t="shared" si="1"/>
        <v>8621300</v>
      </c>
    </row>
    <row r="38" spans="1:7" x14ac:dyDescent="0.25">
      <c r="A38" s="21">
        <v>30</v>
      </c>
      <c r="B38" s="20" t="s">
        <v>312</v>
      </c>
      <c r="C38" s="21" t="s">
        <v>311</v>
      </c>
      <c r="D38" s="21">
        <v>1</v>
      </c>
      <c r="E38" s="26">
        <v>110000</v>
      </c>
      <c r="F38" s="26">
        <f t="shared" si="0"/>
        <v>110000</v>
      </c>
      <c r="G38" s="26">
        <f t="shared" si="1"/>
        <v>8511300</v>
      </c>
    </row>
    <row r="39" spans="1:7" x14ac:dyDescent="0.25">
      <c r="A39" s="21">
        <v>31</v>
      </c>
      <c r="B39" s="20" t="s">
        <v>310</v>
      </c>
      <c r="C39" s="21" t="s">
        <v>226</v>
      </c>
      <c r="D39" s="21">
        <v>2</v>
      </c>
      <c r="E39" s="26">
        <v>85000</v>
      </c>
      <c r="F39" s="26">
        <f t="shared" si="0"/>
        <v>170000</v>
      </c>
      <c r="G39" s="26">
        <f t="shared" si="1"/>
        <v>8341300</v>
      </c>
    </row>
    <row r="40" spans="1:7" x14ac:dyDescent="0.25">
      <c r="A40" s="21">
        <v>32</v>
      </c>
      <c r="B40" s="20" t="s">
        <v>309</v>
      </c>
      <c r="C40" s="21" t="s">
        <v>244</v>
      </c>
      <c r="D40" s="21">
        <v>1</v>
      </c>
      <c r="E40" s="26">
        <v>18000</v>
      </c>
      <c r="F40" s="26">
        <f t="shared" si="0"/>
        <v>18000</v>
      </c>
      <c r="G40" s="26">
        <f t="shared" si="1"/>
        <v>8323300</v>
      </c>
    </row>
    <row r="41" spans="1:7" x14ac:dyDescent="0.25">
      <c r="A41" s="21">
        <v>33</v>
      </c>
      <c r="B41" s="20" t="s">
        <v>308</v>
      </c>
      <c r="C41" s="21" t="s">
        <v>248</v>
      </c>
      <c r="D41" s="21">
        <v>1</v>
      </c>
      <c r="E41" s="26">
        <v>12000</v>
      </c>
      <c r="F41" s="26">
        <f t="shared" si="0"/>
        <v>12000</v>
      </c>
      <c r="G41" s="26">
        <f t="shared" ref="G41:G72" si="2">G40-F41</f>
        <v>8311300</v>
      </c>
    </row>
    <row r="42" spans="1:7" x14ac:dyDescent="0.25">
      <c r="A42" s="21">
        <v>34</v>
      </c>
      <c r="B42" s="20" t="s">
        <v>307</v>
      </c>
      <c r="C42" s="21" t="s">
        <v>256</v>
      </c>
      <c r="D42" s="21">
        <v>1</v>
      </c>
      <c r="E42" s="26">
        <v>3000</v>
      </c>
      <c r="F42" s="26">
        <f t="shared" si="0"/>
        <v>3000</v>
      </c>
      <c r="G42" s="26">
        <f t="shared" si="2"/>
        <v>8308300</v>
      </c>
    </row>
    <row r="43" spans="1:7" x14ac:dyDescent="0.25">
      <c r="E43" s="31"/>
      <c r="F43" s="26"/>
      <c r="G43" s="27">
        <f t="shared" si="2"/>
        <v>8308300</v>
      </c>
    </row>
    <row r="44" spans="1:7" x14ac:dyDescent="0.25">
      <c r="A44" s="28" t="s">
        <v>306</v>
      </c>
      <c r="B44" s="25" t="s">
        <v>305</v>
      </c>
      <c r="F44" s="26"/>
      <c r="G44" s="27">
        <f t="shared" si="2"/>
        <v>8308300</v>
      </c>
    </row>
    <row r="45" spans="1:7" x14ac:dyDescent="0.25">
      <c r="A45" s="21">
        <v>1</v>
      </c>
      <c r="B45" s="20" t="s">
        <v>304</v>
      </c>
      <c r="C45" s="21" t="s">
        <v>273</v>
      </c>
      <c r="D45" s="21">
        <v>1</v>
      </c>
      <c r="E45" s="26">
        <v>15500</v>
      </c>
      <c r="F45" s="26">
        <f t="shared" ref="F45:F58" si="3">D45*E45</f>
        <v>15500</v>
      </c>
      <c r="G45" s="26">
        <f t="shared" si="2"/>
        <v>8292800</v>
      </c>
    </row>
    <row r="46" spans="1:7" x14ac:dyDescent="0.25">
      <c r="A46" s="21">
        <v>2</v>
      </c>
      <c r="B46" s="20" t="s">
        <v>303</v>
      </c>
      <c r="C46" s="21" t="s">
        <v>248</v>
      </c>
      <c r="D46" s="21">
        <v>1</v>
      </c>
      <c r="E46" s="26">
        <v>24000</v>
      </c>
      <c r="F46" s="26">
        <f t="shared" si="3"/>
        <v>24000</v>
      </c>
      <c r="G46" s="26">
        <f t="shared" si="2"/>
        <v>8268800</v>
      </c>
    </row>
    <row r="47" spans="1:7" x14ac:dyDescent="0.25">
      <c r="A47" s="21">
        <v>2</v>
      </c>
      <c r="B47" s="20" t="s">
        <v>302</v>
      </c>
      <c r="C47" s="21" t="s">
        <v>273</v>
      </c>
      <c r="D47" s="21">
        <v>2</v>
      </c>
      <c r="E47" s="26">
        <v>6500</v>
      </c>
      <c r="F47" s="26">
        <f t="shared" si="3"/>
        <v>13000</v>
      </c>
      <c r="G47" s="26">
        <f t="shared" si="2"/>
        <v>8255800</v>
      </c>
    </row>
    <row r="48" spans="1:7" x14ac:dyDescent="0.25">
      <c r="A48" s="21">
        <v>3</v>
      </c>
      <c r="B48" s="20" t="s">
        <v>301</v>
      </c>
      <c r="C48" s="21" t="s">
        <v>256</v>
      </c>
      <c r="D48" s="21">
        <v>2</v>
      </c>
      <c r="E48" s="26">
        <v>6500</v>
      </c>
      <c r="F48" s="26">
        <f t="shared" si="3"/>
        <v>13000</v>
      </c>
      <c r="G48" s="26">
        <f t="shared" si="2"/>
        <v>8242800</v>
      </c>
    </row>
    <row r="49" spans="1:7" x14ac:dyDescent="0.25">
      <c r="A49" s="21">
        <v>4</v>
      </c>
      <c r="B49" s="20" t="s">
        <v>300</v>
      </c>
      <c r="C49" s="21" t="s">
        <v>256</v>
      </c>
      <c r="D49" s="21">
        <v>12</v>
      </c>
      <c r="E49" s="26">
        <v>12000</v>
      </c>
      <c r="F49" s="26">
        <f t="shared" si="3"/>
        <v>144000</v>
      </c>
      <c r="G49" s="26">
        <f t="shared" si="2"/>
        <v>8098800</v>
      </c>
    </row>
    <row r="50" spans="1:7" x14ac:dyDescent="0.25">
      <c r="A50" s="21">
        <v>5</v>
      </c>
      <c r="B50" s="20" t="s">
        <v>299</v>
      </c>
      <c r="C50" s="21" t="s">
        <v>256</v>
      </c>
      <c r="D50" s="21">
        <v>4</v>
      </c>
      <c r="E50" s="26">
        <v>5000</v>
      </c>
      <c r="F50" s="26">
        <f t="shared" si="3"/>
        <v>20000</v>
      </c>
      <c r="G50" s="26">
        <f t="shared" si="2"/>
        <v>8078800</v>
      </c>
    </row>
    <row r="51" spans="1:7" x14ac:dyDescent="0.25">
      <c r="A51" s="21">
        <v>6</v>
      </c>
      <c r="B51" s="20" t="s">
        <v>298</v>
      </c>
      <c r="C51" s="21" t="s">
        <v>273</v>
      </c>
      <c r="D51" s="21">
        <v>1</v>
      </c>
      <c r="E51" s="26">
        <v>14500</v>
      </c>
      <c r="F51" s="26">
        <f t="shared" si="3"/>
        <v>14500</v>
      </c>
      <c r="G51" s="26">
        <f t="shared" si="2"/>
        <v>8064300</v>
      </c>
    </row>
    <row r="52" spans="1:7" x14ac:dyDescent="0.25">
      <c r="A52" s="21">
        <v>7</v>
      </c>
      <c r="B52" s="20" t="s">
        <v>297</v>
      </c>
      <c r="C52" s="21" t="s">
        <v>273</v>
      </c>
      <c r="D52" s="21">
        <v>1</v>
      </c>
      <c r="E52" s="26">
        <v>5000</v>
      </c>
      <c r="F52" s="26">
        <f t="shared" si="3"/>
        <v>5000</v>
      </c>
      <c r="G52" s="26">
        <f t="shared" si="2"/>
        <v>8059300</v>
      </c>
    </row>
    <row r="53" spans="1:7" x14ac:dyDescent="0.25">
      <c r="A53" s="21">
        <v>8</v>
      </c>
      <c r="B53" s="20" t="s">
        <v>296</v>
      </c>
      <c r="C53" s="21" t="s">
        <v>248</v>
      </c>
      <c r="D53" s="21">
        <v>1</v>
      </c>
      <c r="E53" s="26">
        <v>11000</v>
      </c>
      <c r="F53" s="26">
        <f t="shared" si="3"/>
        <v>11000</v>
      </c>
      <c r="G53" s="26">
        <f t="shared" si="2"/>
        <v>8048300</v>
      </c>
    </row>
    <row r="54" spans="1:7" x14ac:dyDescent="0.25">
      <c r="A54" s="21">
        <v>9</v>
      </c>
      <c r="B54" s="20" t="s">
        <v>295</v>
      </c>
      <c r="C54" s="21" t="s">
        <v>273</v>
      </c>
      <c r="D54" s="21">
        <v>1</v>
      </c>
      <c r="E54" s="26">
        <v>5000</v>
      </c>
      <c r="F54" s="26">
        <f t="shared" si="3"/>
        <v>5000</v>
      </c>
      <c r="G54" s="26">
        <f t="shared" si="2"/>
        <v>8043300</v>
      </c>
    </row>
    <row r="55" spans="1:7" x14ac:dyDescent="0.25">
      <c r="A55" s="21">
        <v>10</v>
      </c>
      <c r="B55" s="20" t="s">
        <v>294</v>
      </c>
      <c r="C55" s="21" t="s">
        <v>248</v>
      </c>
      <c r="D55" s="21">
        <v>1</v>
      </c>
      <c r="E55" s="26">
        <v>15500</v>
      </c>
      <c r="F55" s="26">
        <f t="shared" si="3"/>
        <v>15500</v>
      </c>
      <c r="G55" s="26">
        <f t="shared" si="2"/>
        <v>8027800</v>
      </c>
    </row>
    <row r="56" spans="1:7" x14ac:dyDescent="0.25">
      <c r="A56" s="21">
        <v>11</v>
      </c>
      <c r="B56" s="20" t="s">
        <v>293</v>
      </c>
      <c r="C56" s="21" t="s">
        <v>248</v>
      </c>
      <c r="D56" s="21">
        <v>1</v>
      </c>
      <c r="E56" s="26">
        <v>28500</v>
      </c>
      <c r="F56" s="26">
        <f t="shared" si="3"/>
        <v>28500</v>
      </c>
      <c r="G56" s="26">
        <f t="shared" si="2"/>
        <v>7999300</v>
      </c>
    </row>
    <row r="57" spans="1:7" x14ac:dyDescent="0.25">
      <c r="A57" s="21">
        <v>12</v>
      </c>
      <c r="B57" s="20" t="s">
        <v>292</v>
      </c>
      <c r="C57" s="21" t="s">
        <v>270</v>
      </c>
      <c r="D57" s="21">
        <v>3</v>
      </c>
      <c r="E57" s="26">
        <v>4000</v>
      </c>
      <c r="F57" s="26">
        <f t="shared" si="3"/>
        <v>12000</v>
      </c>
      <c r="G57" s="26">
        <f t="shared" si="2"/>
        <v>7987300</v>
      </c>
    </row>
    <row r="58" spans="1:7" x14ac:dyDescent="0.25">
      <c r="A58" s="21">
        <v>13</v>
      </c>
      <c r="B58" s="20" t="s">
        <v>291</v>
      </c>
      <c r="C58" s="21" t="s">
        <v>270</v>
      </c>
      <c r="D58" s="21">
        <v>4</v>
      </c>
      <c r="E58" s="26">
        <v>2000</v>
      </c>
      <c r="F58" s="26">
        <f t="shared" si="3"/>
        <v>8000</v>
      </c>
      <c r="G58" s="26">
        <f t="shared" si="2"/>
        <v>7979300</v>
      </c>
    </row>
    <row r="59" spans="1:7" ht="4.5" customHeight="1" x14ac:dyDescent="0.25">
      <c r="E59" s="26"/>
      <c r="F59" s="26"/>
      <c r="G59" s="26"/>
    </row>
    <row r="60" spans="1:7" x14ac:dyDescent="0.25">
      <c r="A60" s="113" t="s">
        <v>290</v>
      </c>
      <c r="B60" s="113" t="s">
        <v>289</v>
      </c>
      <c r="C60" s="113" t="s">
        <v>288</v>
      </c>
      <c r="D60" s="113" t="s">
        <v>287</v>
      </c>
      <c r="E60" s="28" t="s">
        <v>286</v>
      </c>
      <c r="F60" s="28" t="s">
        <v>132</v>
      </c>
      <c r="G60" s="28" t="s">
        <v>285</v>
      </c>
    </row>
    <row r="61" spans="1:7" x14ac:dyDescent="0.25">
      <c r="A61" s="113"/>
      <c r="B61" s="113"/>
      <c r="C61" s="113"/>
      <c r="D61" s="113"/>
      <c r="E61" s="28" t="s">
        <v>284</v>
      </c>
      <c r="F61" s="28" t="s">
        <v>283</v>
      </c>
      <c r="G61" s="28" t="s">
        <v>283</v>
      </c>
    </row>
    <row r="62" spans="1:7" x14ac:dyDescent="0.25">
      <c r="A62" s="29">
        <v>1</v>
      </c>
      <c r="B62" s="29">
        <v>2</v>
      </c>
      <c r="C62" s="29">
        <v>3</v>
      </c>
      <c r="D62" s="29">
        <v>4</v>
      </c>
      <c r="E62" s="30">
        <v>5</v>
      </c>
      <c r="F62" s="29">
        <v>6</v>
      </c>
      <c r="G62" s="29">
        <v>7</v>
      </c>
    </row>
    <row r="63" spans="1:7" x14ac:dyDescent="0.25">
      <c r="A63" s="21">
        <v>14</v>
      </c>
      <c r="B63" s="20" t="s">
        <v>282</v>
      </c>
      <c r="C63" s="21" t="s">
        <v>273</v>
      </c>
      <c r="D63" s="21">
        <v>1</v>
      </c>
      <c r="E63" s="26">
        <v>12000</v>
      </c>
      <c r="F63" s="26">
        <f>D63*E63</f>
        <v>12000</v>
      </c>
      <c r="G63" s="26">
        <f>G58-F63</f>
        <v>7967300</v>
      </c>
    </row>
    <row r="64" spans="1:7" x14ac:dyDescent="0.25">
      <c r="A64" s="21">
        <v>15</v>
      </c>
      <c r="B64" s="20" t="s">
        <v>281</v>
      </c>
      <c r="C64" s="21" t="s">
        <v>280</v>
      </c>
      <c r="D64" s="21">
        <v>15</v>
      </c>
      <c r="E64" s="26">
        <v>1000</v>
      </c>
      <c r="F64" s="26">
        <f>D64*E64</f>
        <v>15000</v>
      </c>
      <c r="G64" s="26">
        <f t="shared" ref="G64:G108" si="4">G63-F64</f>
        <v>7952300</v>
      </c>
    </row>
    <row r="65" spans="1:7" x14ac:dyDescent="0.25">
      <c r="A65" s="21">
        <v>16</v>
      </c>
      <c r="B65" s="20" t="s">
        <v>279</v>
      </c>
      <c r="C65" s="21" t="s">
        <v>270</v>
      </c>
      <c r="D65" s="21">
        <v>1</v>
      </c>
      <c r="E65" s="26">
        <v>5000</v>
      </c>
      <c r="F65" s="26">
        <f>D65*E65</f>
        <v>5000</v>
      </c>
      <c r="G65" s="26">
        <f t="shared" si="4"/>
        <v>7947300</v>
      </c>
    </row>
    <row r="66" spans="1:7" x14ac:dyDescent="0.25">
      <c r="F66" s="26"/>
      <c r="G66" s="27">
        <f t="shared" si="4"/>
        <v>7947300</v>
      </c>
    </row>
    <row r="67" spans="1:7" x14ac:dyDescent="0.25">
      <c r="A67" s="28" t="s">
        <v>278</v>
      </c>
      <c r="B67" s="25" t="s">
        <v>205</v>
      </c>
      <c r="F67" s="26"/>
      <c r="G67" s="27">
        <f t="shared" si="4"/>
        <v>7947300</v>
      </c>
    </row>
    <row r="68" spans="1:7" x14ac:dyDescent="0.25">
      <c r="A68" s="21">
        <v>1</v>
      </c>
      <c r="B68" s="20" t="s">
        <v>277</v>
      </c>
      <c r="C68" s="21" t="s">
        <v>276</v>
      </c>
      <c r="D68" s="21">
        <v>16</v>
      </c>
      <c r="E68" s="26">
        <v>20500</v>
      </c>
      <c r="F68" s="26">
        <f t="shared" ref="F68:F92" si="5">D68*E68</f>
        <v>328000</v>
      </c>
      <c r="G68" s="26">
        <f t="shared" si="4"/>
        <v>7619300</v>
      </c>
    </row>
    <row r="69" spans="1:7" x14ac:dyDescent="0.25">
      <c r="A69" s="21">
        <v>2</v>
      </c>
      <c r="B69" s="20" t="s">
        <v>275</v>
      </c>
      <c r="C69" s="21" t="s">
        <v>248</v>
      </c>
      <c r="D69" s="21">
        <v>2</v>
      </c>
      <c r="E69" s="26">
        <v>23000</v>
      </c>
      <c r="F69" s="26">
        <f t="shared" si="5"/>
        <v>46000</v>
      </c>
      <c r="G69" s="26">
        <f t="shared" si="4"/>
        <v>7573300</v>
      </c>
    </row>
    <row r="70" spans="1:7" x14ac:dyDescent="0.25">
      <c r="A70" s="21">
        <v>3</v>
      </c>
      <c r="B70" s="20" t="s">
        <v>274</v>
      </c>
      <c r="C70" s="21" t="s">
        <v>273</v>
      </c>
      <c r="D70" s="21">
        <v>1</v>
      </c>
      <c r="E70" s="26">
        <v>6500</v>
      </c>
      <c r="F70" s="26">
        <f t="shared" si="5"/>
        <v>6500</v>
      </c>
      <c r="G70" s="26">
        <f t="shared" si="4"/>
        <v>7566800</v>
      </c>
    </row>
    <row r="71" spans="1:7" x14ac:dyDescent="0.25">
      <c r="A71" s="21">
        <v>4</v>
      </c>
      <c r="B71" s="20" t="s">
        <v>187</v>
      </c>
      <c r="C71" s="21" t="s">
        <v>272</v>
      </c>
      <c r="D71" s="21">
        <v>6</v>
      </c>
      <c r="E71" s="26">
        <v>11000</v>
      </c>
      <c r="F71" s="26">
        <f t="shared" si="5"/>
        <v>66000</v>
      </c>
      <c r="G71" s="26">
        <f t="shared" si="4"/>
        <v>7500800</v>
      </c>
    </row>
    <row r="72" spans="1:7" x14ac:dyDescent="0.25">
      <c r="A72" s="21">
        <v>5</v>
      </c>
      <c r="B72" s="20" t="s">
        <v>271</v>
      </c>
      <c r="C72" s="21" t="s">
        <v>270</v>
      </c>
      <c r="D72" s="21">
        <v>17</v>
      </c>
      <c r="E72" s="26">
        <v>2000</v>
      </c>
      <c r="F72" s="26">
        <f t="shared" si="5"/>
        <v>34000</v>
      </c>
      <c r="G72" s="26">
        <f t="shared" si="4"/>
        <v>7466800</v>
      </c>
    </row>
    <row r="73" spans="1:7" x14ac:dyDescent="0.25">
      <c r="A73" s="21">
        <v>6</v>
      </c>
      <c r="B73" s="20" t="s">
        <v>269</v>
      </c>
      <c r="C73" s="21" t="s">
        <v>268</v>
      </c>
      <c r="D73" s="21">
        <v>3</v>
      </c>
      <c r="E73" s="26">
        <v>24000</v>
      </c>
      <c r="F73" s="26">
        <f t="shared" si="5"/>
        <v>72000</v>
      </c>
      <c r="G73" s="26">
        <f t="shared" si="4"/>
        <v>7394800</v>
      </c>
    </row>
    <row r="74" spans="1:7" x14ac:dyDescent="0.25">
      <c r="A74" s="21">
        <v>7</v>
      </c>
      <c r="B74" s="20" t="s">
        <v>267</v>
      </c>
      <c r="C74" s="21" t="s">
        <v>244</v>
      </c>
      <c r="D74" s="21">
        <v>15</v>
      </c>
      <c r="E74" s="26">
        <v>15000</v>
      </c>
      <c r="F74" s="26">
        <f t="shared" si="5"/>
        <v>225000</v>
      </c>
      <c r="G74" s="26">
        <f t="shared" si="4"/>
        <v>7169800</v>
      </c>
    </row>
    <row r="75" spans="1:7" x14ac:dyDescent="0.25">
      <c r="A75" s="21">
        <v>8</v>
      </c>
      <c r="B75" s="20" t="s">
        <v>266</v>
      </c>
      <c r="C75" s="21" t="s">
        <v>248</v>
      </c>
      <c r="D75" s="21">
        <v>8</v>
      </c>
      <c r="E75" s="26">
        <v>5000</v>
      </c>
      <c r="F75" s="26">
        <f t="shared" si="5"/>
        <v>40000</v>
      </c>
      <c r="G75" s="26">
        <f t="shared" si="4"/>
        <v>7129800</v>
      </c>
    </row>
    <row r="76" spans="1:7" x14ac:dyDescent="0.25">
      <c r="A76" s="21">
        <v>9</v>
      </c>
      <c r="B76" s="20" t="s">
        <v>265</v>
      </c>
      <c r="C76" s="21" t="s">
        <v>248</v>
      </c>
      <c r="D76" s="21">
        <v>1</v>
      </c>
      <c r="E76" s="26">
        <v>65000</v>
      </c>
      <c r="F76" s="26">
        <f t="shared" si="5"/>
        <v>65000</v>
      </c>
      <c r="G76" s="26">
        <f t="shared" si="4"/>
        <v>7064800</v>
      </c>
    </row>
    <row r="77" spans="1:7" x14ac:dyDescent="0.25">
      <c r="A77" s="21">
        <v>10</v>
      </c>
      <c r="B77" s="20" t="s">
        <v>264</v>
      </c>
      <c r="C77" s="21" t="s">
        <v>244</v>
      </c>
      <c r="D77" s="21">
        <v>3</v>
      </c>
      <c r="E77" s="26">
        <v>20200</v>
      </c>
      <c r="F77" s="26">
        <f t="shared" si="5"/>
        <v>60600</v>
      </c>
      <c r="G77" s="26">
        <f t="shared" si="4"/>
        <v>7004200</v>
      </c>
    </row>
    <row r="78" spans="1:7" x14ac:dyDescent="0.25">
      <c r="A78" s="21">
        <v>11</v>
      </c>
      <c r="B78" s="20" t="s">
        <v>263</v>
      </c>
      <c r="C78" s="21" t="s">
        <v>248</v>
      </c>
      <c r="D78" s="21">
        <v>2</v>
      </c>
      <c r="E78" s="26">
        <v>11900</v>
      </c>
      <c r="F78" s="26">
        <f t="shared" si="5"/>
        <v>23800</v>
      </c>
      <c r="G78" s="26">
        <f t="shared" si="4"/>
        <v>6980400</v>
      </c>
    </row>
    <row r="79" spans="1:7" x14ac:dyDescent="0.25">
      <c r="A79" s="21">
        <v>12</v>
      </c>
      <c r="B79" s="20" t="s">
        <v>262</v>
      </c>
      <c r="C79" s="21" t="s">
        <v>246</v>
      </c>
      <c r="D79" s="21">
        <v>1</v>
      </c>
      <c r="E79" s="26">
        <v>52000</v>
      </c>
      <c r="F79" s="26">
        <f t="shared" si="5"/>
        <v>52000</v>
      </c>
      <c r="G79" s="26">
        <f t="shared" si="4"/>
        <v>6928400</v>
      </c>
    </row>
    <row r="80" spans="1:7" x14ac:dyDescent="0.25">
      <c r="A80" s="21">
        <v>13</v>
      </c>
      <c r="B80" s="20" t="s">
        <v>261</v>
      </c>
      <c r="C80" s="21" t="s">
        <v>256</v>
      </c>
      <c r="D80" s="21">
        <v>5</v>
      </c>
      <c r="E80" s="26">
        <v>4000</v>
      </c>
      <c r="F80" s="26">
        <f t="shared" si="5"/>
        <v>20000</v>
      </c>
      <c r="G80" s="26">
        <f t="shared" si="4"/>
        <v>6908400</v>
      </c>
    </row>
    <row r="81" spans="1:7" x14ac:dyDescent="0.25">
      <c r="A81" s="21">
        <v>14</v>
      </c>
      <c r="B81" s="20" t="s">
        <v>260</v>
      </c>
      <c r="C81" s="21" t="s">
        <v>246</v>
      </c>
      <c r="D81" s="21">
        <v>1</v>
      </c>
      <c r="E81" s="26">
        <v>500000</v>
      </c>
      <c r="F81" s="26">
        <f t="shared" si="5"/>
        <v>500000</v>
      </c>
      <c r="G81" s="26">
        <f t="shared" si="4"/>
        <v>6408400</v>
      </c>
    </row>
    <row r="82" spans="1:7" x14ac:dyDescent="0.25">
      <c r="A82" s="21">
        <v>15</v>
      </c>
      <c r="B82" s="20" t="s">
        <v>259</v>
      </c>
      <c r="C82" s="21" t="s">
        <v>256</v>
      </c>
      <c r="D82" s="21">
        <v>1</v>
      </c>
      <c r="E82" s="26">
        <v>52400</v>
      </c>
      <c r="F82" s="26">
        <f t="shared" si="5"/>
        <v>52400</v>
      </c>
      <c r="G82" s="26">
        <f t="shared" si="4"/>
        <v>6356000</v>
      </c>
    </row>
    <row r="83" spans="1:7" x14ac:dyDescent="0.25">
      <c r="A83" s="21">
        <v>16</v>
      </c>
      <c r="B83" s="20" t="s">
        <v>258</v>
      </c>
      <c r="C83" s="21" t="s">
        <v>256</v>
      </c>
      <c r="D83" s="21">
        <v>1</v>
      </c>
      <c r="E83" s="26">
        <v>22000</v>
      </c>
      <c r="F83" s="26">
        <f t="shared" si="5"/>
        <v>22000</v>
      </c>
      <c r="G83" s="26">
        <f t="shared" si="4"/>
        <v>6334000</v>
      </c>
    </row>
    <row r="84" spans="1:7" x14ac:dyDescent="0.25">
      <c r="A84" s="21">
        <v>17</v>
      </c>
      <c r="B84" s="20" t="s">
        <v>257</v>
      </c>
      <c r="C84" s="21" t="s">
        <v>256</v>
      </c>
      <c r="D84" s="21">
        <v>1</v>
      </c>
      <c r="E84" s="26">
        <v>11000</v>
      </c>
      <c r="F84" s="26">
        <f t="shared" si="5"/>
        <v>11000</v>
      </c>
      <c r="G84" s="26">
        <f t="shared" si="4"/>
        <v>6323000</v>
      </c>
    </row>
    <row r="85" spans="1:7" x14ac:dyDescent="0.25">
      <c r="A85" s="21">
        <v>18</v>
      </c>
      <c r="B85" s="20" t="s">
        <v>255</v>
      </c>
      <c r="C85" s="21" t="s">
        <v>246</v>
      </c>
      <c r="D85" s="21">
        <v>1</v>
      </c>
      <c r="E85" s="26">
        <v>100000</v>
      </c>
      <c r="F85" s="26">
        <f t="shared" si="5"/>
        <v>100000</v>
      </c>
      <c r="G85" s="26">
        <f t="shared" si="4"/>
        <v>6223000</v>
      </c>
    </row>
    <row r="86" spans="1:7" x14ac:dyDescent="0.25">
      <c r="A86" s="21">
        <v>19</v>
      </c>
      <c r="B86" s="20" t="s">
        <v>254</v>
      </c>
      <c r="C86" s="21" t="s">
        <v>253</v>
      </c>
      <c r="D86" s="21">
        <v>2</v>
      </c>
      <c r="E86" s="26">
        <v>5000</v>
      </c>
      <c r="F86" s="26">
        <f t="shared" si="5"/>
        <v>10000</v>
      </c>
      <c r="G86" s="26">
        <f t="shared" si="4"/>
        <v>6213000</v>
      </c>
    </row>
    <row r="87" spans="1:7" x14ac:dyDescent="0.25">
      <c r="A87" s="21">
        <v>20</v>
      </c>
      <c r="B87" s="20" t="s">
        <v>252</v>
      </c>
      <c r="C87" s="21" t="s">
        <v>248</v>
      </c>
      <c r="D87" s="21">
        <v>4</v>
      </c>
      <c r="E87" s="26">
        <v>20000</v>
      </c>
      <c r="F87" s="26">
        <f t="shared" si="5"/>
        <v>80000</v>
      </c>
      <c r="G87" s="26">
        <f t="shared" si="4"/>
        <v>6133000</v>
      </c>
    </row>
    <row r="88" spans="1:7" x14ac:dyDescent="0.25">
      <c r="A88" s="21">
        <v>21</v>
      </c>
      <c r="B88" s="20" t="s">
        <v>251</v>
      </c>
      <c r="C88" s="21" t="s">
        <v>248</v>
      </c>
      <c r="D88" s="21">
        <v>4</v>
      </c>
      <c r="E88" s="26">
        <v>20000</v>
      </c>
      <c r="F88" s="26">
        <f t="shared" si="5"/>
        <v>80000</v>
      </c>
      <c r="G88" s="26">
        <f t="shared" si="4"/>
        <v>6053000</v>
      </c>
    </row>
    <row r="89" spans="1:7" x14ac:dyDescent="0.25">
      <c r="A89" s="21">
        <v>22</v>
      </c>
      <c r="B89" s="20" t="s">
        <v>250</v>
      </c>
      <c r="C89" s="21" t="s">
        <v>248</v>
      </c>
      <c r="D89" s="21">
        <v>2</v>
      </c>
      <c r="E89" s="26">
        <v>20000</v>
      </c>
      <c r="F89" s="26">
        <f t="shared" si="5"/>
        <v>40000</v>
      </c>
      <c r="G89" s="26">
        <f t="shared" si="4"/>
        <v>6013000</v>
      </c>
    </row>
    <row r="90" spans="1:7" x14ac:dyDescent="0.25">
      <c r="A90" s="21">
        <v>23</v>
      </c>
      <c r="B90" s="20" t="s">
        <v>249</v>
      </c>
      <c r="C90" s="21" t="s">
        <v>248</v>
      </c>
      <c r="D90" s="21">
        <v>3</v>
      </c>
      <c r="E90" s="26">
        <v>20000</v>
      </c>
      <c r="F90" s="26">
        <f t="shared" si="5"/>
        <v>60000</v>
      </c>
      <c r="G90" s="26">
        <f t="shared" si="4"/>
        <v>5953000</v>
      </c>
    </row>
    <row r="91" spans="1:7" x14ac:dyDescent="0.25">
      <c r="A91" s="21">
        <v>24</v>
      </c>
      <c r="B91" s="20" t="s">
        <v>247</v>
      </c>
      <c r="C91" s="21" t="s">
        <v>246</v>
      </c>
      <c r="D91" s="21">
        <v>3</v>
      </c>
      <c r="E91" s="26">
        <v>40000</v>
      </c>
      <c r="F91" s="26">
        <f t="shared" si="5"/>
        <v>120000</v>
      </c>
      <c r="G91" s="26">
        <f t="shared" si="4"/>
        <v>5833000</v>
      </c>
    </row>
    <row r="92" spans="1:7" x14ac:dyDescent="0.25">
      <c r="A92" s="21">
        <v>25</v>
      </c>
      <c r="B92" s="20" t="s">
        <v>245</v>
      </c>
      <c r="C92" s="21" t="s">
        <v>244</v>
      </c>
      <c r="D92" s="21">
        <v>6</v>
      </c>
      <c r="E92" s="26">
        <v>16000</v>
      </c>
      <c r="F92" s="26">
        <f t="shared" si="5"/>
        <v>96000</v>
      </c>
      <c r="G92" s="26">
        <f t="shared" si="4"/>
        <v>5737000</v>
      </c>
    </row>
    <row r="93" spans="1:7" x14ac:dyDescent="0.25">
      <c r="F93" s="26"/>
      <c r="G93" s="27">
        <f t="shared" si="4"/>
        <v>5737000</v>
      </c>
    </row>
    <row r="94" spans="1:7" x14ac:dyDescent="0.25">
      <c r="A94" s="28" t="s">
        <v>243</v>
      </c>
      <c r="B94" s="25" t="s">
        <v>242</v>
      </c>
      <c r="F94" s="26"/>
      <c r="G94" s="27">
        <f t="shared" si="4"/>
        <v>5737000</v>
      </c>
    </row>
    <row r="95" spans="1:7" x14ac:dyDescent="0.25">
      <c r="A95" s="21">
        <v>1</v>
      </c>
      <c r="B95" s="20" t="s">
        <v>241</v>
      </c>
      <c r="D95" s="21">
        <v>1</v>
      </c>
      <c r="E95" s="26">
        <v>2000000</v>
      </c>
      <c r="F95" s="26">
        <f t="shared" ref="F95:F108" si="6">D95*E95</f>
        <v>2000000</v>
      </c>
      <c r="G95" s="26">
        <f t="shared" si="4"/>
        <v>3737000</v>
      </c>
    </row>
    <row r="96" spans="1:7" x14ac:dyDescent="0.25">
      <c r="A96" s="21">
        <v>2</v>
      </c>
      <c r="B96" s="20" t="s">
        <v>240</v>
      </c>
      <c r="D96" s="21">
        <v>2</v>
      </c>
      <c r="E96" s="26">
        <v>250000</v>
      </c>
      <c r="F96" s="26">
        <f t="shared" si="6"/>
        <v>500000</v>
      </c>
      <c r="G96" s="26">
        <f t="shared" si="4"/>
        <v>3237000</v>
      </c>
    </row>
    <row r="97" spans="1:7" x14ac:dyDescent="0.25">
      <c r="A97" s="21">
        <v>3</v>
      </c>
      <c r="B97" s="20" t="s">
        <v>239</v>
      </c>
      <c r="D97" s="21">
        <v>2</v>
      </c>
      <c r="E97" s="26">
        <v>150000</v>
      </c>
      <c r="F97" s="26">
        <f t="shared" si="6"/>
        <v>300000</v>
      </c>
      <c r="G97" s="26">
        <f t="shared" si="4"/>
        <v>2937000</v>
      </c>
    </row>
    <row r="98" spans="1:7" x14ac:dyDescent="0.25">
      <c r="A98" s="21">
        <v>4</v>
      </c>
      <c r="B98" s="20" t="s">
        <v>238</v>
      </c>
      <c r="D98" s="21">
        <v>50</v>
      </c>
      <c r="E98" s="26">
        <v>10000</v>
      </c>
      <c r="F98" s="26">
        <f t="shared" si="6"/>
        <v>500000</v>
      </c>
      <c r="G98" s="26">
        <f t="shared" si="4"/>
        <v>2437000</v>
      </c>
    </row>
    <row r="99" spans="1:7" x14ac:dyDescent="0.25">
      <c r="A99" s="21">
        <v>5</v>
      </c>
      <c r="B99" s="20" t="s">
        <v>237</v>
      </c>
      <c r="C99" s="21" t="s">
        <v>232</v>
      </c>
      <c r="D99" s="21">
        <v>11</v>
      </c>
      <c r="E99" s="26">
        <v>2000</v>
      </c>
      <c r="F99" s="26">
        <f t="shared" si="6"/>
        <v>22000</v>
      </c>
      <c r="G99" s="26">
        <f t="shared" si="4"/>
        <v>2415000</v>
      </c>
    </row>
    <row r="100" spans="1:7" x14ac:dyDescent="0.25">
      <c r="A100" s="21">
        <v>6</v>
      </c>
      <c r="B100" s="20" t="s">
        <v>236</v>
      </c>
      <c r="C100" s="21" t="s">
        <v>232</v>
      </c>
      <c r="D100" s="21">
        <v>5</v>
      </c>
      <c r="E100" s="26">
        <v>20000</v>
      </c>
      <c r="F100" s="26">
        <f t="shared" si="6"/>
        <v>100000</v>
      </c>
      <c r="G100" s="26">
        <f t="shared" si="4"/>
        <v>2315000</v>
      </c>
    </row>
    <row r="101" spans="1:7" x14ac:dyDescent="0.25">
      <c r="A101" s="21">
        <v>7</v>
      </c>
      <c r="B101" s="20" t="s">
        <v>235</v>
      </c>
      <c r="C101" s="21" t="s">
        <v>23</v>
      </c>
      <c r="D101" s="21">
        <v>4</v>
      </c>
      <c r="E101" s="26">
        <v>50000</v>
      </c>
      <c r="F101" s="26">
        <f t="shared" si="6"/>
        <v>200000</v>
      </c>
      <c r="G101" s="26">
        <f t="shared" si="4"/>
        <v>2115000</v>
      </c>
    </row>
    <row r="102" spans="1:7" x14ac:dyDescent="0.25">
      <c r="A102" s="21">
        <v>8</v>
      </c>
      <c r="B102" s="20" t="s">
        <v>234</v>
      </c>
      <c r="C102" s="21" t="s">
        <v>230</v>
      </c>
      <c r="D102" s="21">
        <v>2</v>
      </c>
      <c r="E102" s="26">
        <v>20000</v>
      </c>
      <c r="F102" s="26">
        <f t="shared" si="6"/>
        <v>40000</v>
      </c>
      <c r="G102" s="26">
        <f t="shared" si="4"/>
        <v>2075000</v>
      </c>
    </row>
    <row r="103" spans="1:7" x14ac:dyDescent="0.25">
      <c r="A103" s="21">
        <v>9</v>
      </c>
      <c r="B103" s="20" t="s">
        <v>233</v>
      </c>
      <c r="C103" s="21" t="s">
        <v>232</v>
      </c>
      <c r="D103" s="21">
        <v>3</v>
      </c>
      <c r="E103" s="26">
        <v>20000</v>
      </c>
      <c r="F103" s="26">
        <f t="shared" si="6"/>
        <v>60000</v>
      </c>
      <c r="G103" s="26">
        <f t="shared" si="4"/>
        <v>2015000</v>
      </c>
    </row>
    <row r="104" spans="1:7" x14ac:dyDescent="0.25">
      <c r="A104" s="21">
        <v>10</v>
      </c>
      <c r="B104" s="20" t="s">
        <v>231</v>
      </c>
      <c r="C104" s="21" t="s">
        <v>230</v>
      </c>
      <c r="D104" s="21">
        <v>1</v>
      </c>
      <c r="E104" s="26">
        <v>20000</v>
      </c>
      <c r="F104" s="26">
        <f t="shared" si="6"/>
        <v>20000</v>
      </c>
      <c r="G104" s="26">
        <f t="shared" si="4"/>
        <v>1995000</v>
      </c>
    </row>
    <row r="105" spans="1:7" x14ac:dyDescent="0.25">
      <c r="A105" s="21">
        <v>11</v>
      </c>
      <c r="B105" s="20" t="s">
        <v>229</v>
      </c>
      <c r="C105" s="21" t="s">
        <v>226</v>
      </c>
      <c r="D105" s="21">
        <v>10</v>
      </c>
      <c r="E105" s="26">
        <v>7500</v>
      </c>
      <c r="F105" s="26">
        <f t="shared" si="6"/>
        <v>75000</v>
      </c>
      <c r="G105" s="26">
        <f t="shared" si="4"/>
        <v>1920000</v>
      </c>
    </row>
    <row r="106" spans="1:7" x14ac:dyDescent="0.25">
      <c r="A106" s="21">
        <v>12</v>
      </c>
      <c r="B106" s="20" t="s">
        <v>228</v>
      </c>
      <c r="C106" s="21" t="s">
        <v>226</v>
      </c>
      <c r="D106" s="21">
        <v>20</v>
      </c>
      <c r="E106" s="26">
        <v>7500</v>
      </c>
      <c r="F106" s="26">
        <f t="shared" si="6"/>
        <v>150000</v>
      </c>
      <c r="G106" s="26">
        <f t="shared" si="4"/>
        <v>1770000</v>
      </c>
    </row>
    <row r="107" spans="1:7" x14ac:dyDescent="0.25">
      <c r="A107" s="21">
        <v>13</v>
      </c>
      <c r="B107" s="20" t="s">
        <v>227</v>
      </c>
      <c r="C107" s="21" t="s">
        <v>226</v>
      </c>
      <c r="D107" s="21">
        <v>10</v>
      </c>
      <c r="E107" s="26">
        <v>7500</v>
      </c>
      <c r="F107" s="26">
        <f t="shared" si="6"/>
        <v>75000</v>
      </c>
      <c r="G107" s="26">
        <f t="shared" si="4"/>
        <v>1695000</v>
      </c>
    </row>
    <row r="108" spans="1:7" x14ac:dyDescent="0.25">
      <c r="A108" s="21">
        <v>14</v>
      </c>
      <c r="B108" s="20" t="s">
        <v>225</v>
      </c>
      <c r="D108" s="21">
        <v>1</v>
      </c>
      <c r="E108" s="26">
        <v>50000</v>
      </c>
      <c r="F108" s="26">
        <f t="shared" si="6"/>
        <v>50000</v>
      </c>
      <c r="G108" s="26">
        <f t="shared" si="4"/>
        <v>1645000</v>
      </c>
    </row>
    <row r="110" spans="1:7" x14ac:dyDescent="0.25">
      <c r="F110" s="25" t="s">
        <v>224</v>
      </c>
      <c r="G110" s="24">
        <f>G108</f>
        <v>1645000</v>
      </c>
    </row>
    <row r="112" spans="1:7" x14ac:dyDescent="0.25">
      <c r="B112" s="23" t="s">
        <v>223</v>
      </c>
      <c r="E112" s="114" t="s">
        <v>222</v>
      </c>
      <c r="F112" s="114"/>
    </row>
    <row r="113" spans="2:6" x14ac:dyDescent="0.25">
      <c r="B113" s="23" t="s">
        <v>221</v>
      </c>
      <c r="E113" s="114" t="s">
        <v>220</v>
      </c>
      <c r="F113" s="114"/>
    </row>
    <row r="117" spans="2:6" x14ac:dyDescent="0.25">
      <c r="B117" s="22" t="s">
        <v>219</v>
      </c>
      <c r="E117" s="115" t="s">
        <v>218</v>
      </c>
      <c r="F117" s="115"/>
    </row>
  </sheetData>
  <mergeCells count="12">
    <mergeCell ref="E112:F112"/>
    <mergeCell ref="E113:F113"/>
    <mergeCell ref="E117:F117"/>
    <mergeCell ref="A60:A61"/>
    <mergeCell ref="B60:B61"/>
    <mergeCell ref="C60:C61"/>
    <mergeCell ref="D60:D61"/>
    <mergeCell ref="A4:A5"/>
    <mergeCell ref="B4:B5"/>
    <mergeCell ref="C4:C5"/>
    <mergeCell ref="D4:D5"/>
    <mergeCell ref="A2:G2"/>
  </mergeCells>
  <pageMargins left="0.7" right="0.7" top="0.75" bottom="0.75" header="0.3" footer="0.3"/>
  <pageSetup paperSize="10000" orientation="portrait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E501403-9845-4953-AB72-5478FB880091}">
  <dimension ref="A1:J75"/>
  <sheetViews>
    <sheetView topLeftCell="A23" zoomScale="53" workbookViewId="0">
      <selection activeCell="H12" sqref="H12"/>
    </sheetView>
  </sheetViews>
  <sheetFormatPr defaultRowHeight="15" x14ac:dyDescent="0.25"/>
  <cols>
    <col min="1" max="1" width="6.5703125" customWidth="1"/>
    <col min="2" max="2" width="24.7109375" customWidth="1"/>
    <col min="3" max="3" width="30.85546875" customWidth="1"/>
    <col min="4" max="5" width="18.140625" customWidth="1"/>
    <col min="6" max="6" width="26.85546875" customWidth="1"/>
    <col min="7" max="7" width="19.28515625" customWidth="1"/>
    <col min="8" max="8" width="27.7109375" customWidth="1"/>
    <col min="9" max="9" width="17.42578125" customWidth="1"/>
    <col min="10" max="10" width="15.5703125" bestFit="1" customWidth="1"/>
  </cols>
  <sheetData>
    <row r="1" spans="1:7" x14ac:dyDescent="0.25">
      <c r="A1" s="127" t="s">
        <v>420</v>
      </c>
      <c r="B1" s="127"/>
      <c r="C1" s="127"/>
      <c r="D1" s="127"/>
      <c r="E1" s="127"/>
      <c r="F1" s="127"/>
      <c r="G1" s="127"/>
    </row>
    <row r="2" spans="1:7" x14ac:dyDescent="0.25">
      <c r="A2" s="127"/>
      <c r="B2" s="127"/>
      <c r="C2" s="127"/>
      <c r="D2" s="127"/>
      <c r="E2" s="127"/>
      <c r="F2" s="127"/>
      <c r="G2" s="127"/>
    </row>
    <row r="3" spans="1:7" x14ac:dyDescent="0.25">
      <c r="A3" s="116" t="s">
        <v>419</v>
      </c>
      <c r="B3" s="116"/>
      <c r="C3" s="39">
        <f>(G15-G41)</f>
        <v>333100.00010000006</v>
      </c>
      <c r="D3" s="54" t="s">
        <v>418</v>
      </c>
    </row>
    <row r="4" spans="1:7" x14ac:dyDescent="0.25">
      <c r="A4" s="116" t="s">
        <v>417</v>
      </c>
      <c r="B4" s="116"/>
      <c r="C4" s="39">
        <f>C70</f>
        <v>280000</v>
      </c>
      <c r="D4" s="54" t="s">
        <v>416</v>
      </c>
    </row>
    <row r="5" spans="1:7" x14ac:dyDescent="0.25">
      <c r="A5" s="117" t="s">
        <v>415</v>
      </c>
      <c r="B5" s="117"/>
      <c r="C5" s="53">
        <f>C3+C4</f>
        <v>613100.00010000006</v>
      </c>
    </row>
    <row r="7" spans="1:7" x14ac:dyDescent="0.25">
      <c r="A7" s="128" t="s">
        <v>414</v>
      </c>
      <c r="B7" s="128"/>
    </row>
    <row r="8" spans="1:7" x14ac:dyDescent="0.25">
      <c r="A8" s="49" t="s">
        <v>130</v>
      </c>
      <c r="B8" s="49" t="s">
        <v>405</v>
      </c>
      <c r="C8" s="124" t="s">
        <v>413</v>
      </c>
      <c r="D8" s="124"/>
      <c r="E8" s="124"/>
      <c r="F8" s="124"/>
      <c r="G8" s="49" t="s">
        <v>402</v>
      </c>
    </row>
    <row r="9" spans="1:7" x14ac:dyDescent="0.25">
      <c r="A9" s="48" t="s">
        <v>97</v>
      </c>
      <c r="B9" s="120">
        <v>44283</v>
      </c>
      <c r="C9" s="125" t="s">
        <v>412</v>
      </c>
      <c r="D9" s="125"/>
      <c r="E9" s="125"/>
      <c r="F9" s="125"/>
      <c r="G9" s="37">
        <v>103700</v>
      </c>
    </row>
    <row r="10" spans="1:7" x14ac:dyDescent="0.25">
      <c r="A10" s="48" t="s">
        <v>98</v>
      </c>
      <c r="B10" s="120"/>
      <c r="C10" s="125" t="s">
        <v>411</v>
      </c>
      <c r="D10" s="125"/>
      <c r="E10" s="125"/>
      <c r="F10" s="125"/>
      <c r="G10" s="37">
        <v>291500</v>
      </c>
    </row>
    <row r="11" spans="1:7" x14ac:dyDescent="0.25">
      <c r="A11" s="48" t="s">
        <v>99</v>
      </c>
      <c r="B11" s="120"/>
      <c r="C11" s="125" t="s">
        <v>410</v>
      </c>
      <c r="D11" s="125"/>
      <c r="E11" s="125"/>
      <c r="F11" s="125"/>
      <c r="G11" s="37">
        <v>125700</v>
      </c>
    </row>
    <row r="12" spans="1:7" x14ac:dyDescent="0.25">
      <c r="A12" s="48" t="s">
        <v>100</v>
      </c>
      <c r="B12" s="120"/>
      <c r="C12" s="125" t="s">
        <v>409</v>
      </c>
      <c r="D12" s="125"/>
      <c r="E12" s="125"/>
      <c r="F12" s="125"/>
      <c r="G12" s="37">
        <v>99700</v>
      </c>
    </row>
    <row r="13" spans="1:7" x14ac:dyDescent="0.25">
      <c r="A13" s="48" t="s">
        <v>101</v>
      </c>
      <c r="B13" s="52">
        <v>44289</v>
      </c>
      <c r="C13" s="125" t="s">
        <v>408</v>
      </c>
      <c r="D13" s="125"/>
      <c r="E13" s="125"/>
      <c r="F13" s="125"/>
      <c r="G13" s="37">
        <v>1000000</v>
      </c>
    </row>
    <row r="14" spans="1:7" x14ac:dyDescent="0.25">
      <c r="A14" s="48" t="s">
        <v>102</v>
      </c>
      <c r="B14" s="52">
        <v>44290</v>
      </c>
      <c r="C14" s="121" t="s">
        <v>407</v>
      </c>
      <c r="D14" s="122"/>
      <c r="E14" s="122"/>
      <c r="F14" s="123"/>
      <c r="G14" s="37">
        <v>23000</v>
      </c>
    </row>
    <row r="15" spans="1:7" x14ac:dyDescent="0.25">
      <c r="A15" s="126" t="s">
        <v>349</v>
      </c>
      <c r="B15" s="126"/>
      <c r="C15" s="126"/>
      <c r="D15" s="126"/>
      <c r="E15" s="126"/>
      <c r="F15" s="126"/>
      <c r="G15" s="41">
        <f>SUM(G9:G14)</f>
        <v>1643600</v>
      </c>
    </row>
    <row r="17" spans="1:7" x14ac:dyDescent="0.25">
      <c r="A17" s="128" t="s">
        <v>406</v>
      </c>
      <c r="B17" s="128"/>
    </row>
    <row r="18" spans="1:7" x14ac:dyDescent="0.25">
      <c r="A18" s="49" t="s">
        <v>130</v>
      </c>
      <c r="B18" s="49" t="s">
        <v>405</v>
      </c>
      <c r="C18" s="49" t="s">
        <v>404</v>
      </c>
      <c r="D18" s="49" t="s">
        <v>403</v>
      </c>
      <c r="E18" s="124" t="s">
        <v>373</v>
      </c>
      <c r="F18" s="124"/>
      <c r="G18" s="49" t="s">
        <v>402</v>
      </c>
    </row>
    <row r="19" spans="1:7" x14ac:dyDescent="0.25">
      <c r="A19" s="48" t="s">
        <v>97</v>
      </c>
      <c r="B19" s="119">
        <v>44287</v>
      </c>
      <c r="C19" s="38" t="s">
        <v>330</v>
      </c>
      <c r="D19" s="37">
        <v>5000</v>
      </c>
      <c r="E19" s="38">
        <v>3</v>
      </c>
      <c r="F19" s="38" t="s">
        <v>273</v>
      </c>
      <c r="G19" s="37">
        <f t="shared" ref="G19:G40" si="0">(D19*E19)</f>
        <v>15000</v>
      </c>
    </row>
    <row r="20" spans="1:7" x14ac:dyDescent="0.25">
      <c r="A20" s="48" t="s">
        <v>98</v>
      </c>
      <c r="B20" s="119"/>
      <c r="C20" s="38" t="s">
        <v>401</v>
      </c>
      <c r="D20" s="37">
        <v>2500</v>
      </c>
      <c r="E20" s="38">
        <v>3</v>
      </c>
      <c r="F20" s="38" t="s">
        <v>273</v>
      </c>
      <c r="G20" s="37">
        <f t="shared" si="0"/>
        <v>7500</v>
      </c>
    </row>
    <row r="21" spans="1:7" x14ac:dyDescent="0.25">
      <c r="A21" s="48" t="s">
        <v>99</v>
      </c>
      <c r="B21" s="119"/>
      <c r="C21" s="38" t="s">
        <v>400</v>
      </c>
      <c r="D21" s="37">
        <v>9000</v>
      </c>
      <c r="E21" s="38">
        <v>1</v>
      </c>
      <c r="F21" s="38" t="s">
        <v>273</v>
      </c>
      <c r="G21" s="37">
        <f t="shared" si="0"/>
        <v>9000</v>
      </c>
    </row>
    <row r="22" spans="1:7" x14ac:dyDescent="0.25">
      <c r="A22" s="48" t="s">
        <v>100</v>
      </c>
      <c r="B22" s="119"/>
      <c r="C22" s="38" t="s">
        <v>399</v>
      </c>
      <c r="D22" s="37">
        <v>5000</v>
      </c>
      <c r="E22" s="38">
        <v>1</v>
      </c>
      <c r="F22" s="38" t="s">
        <v>244</v>
      </c>
      <c r="G22" s="37">
        <f t="shared" si="0"/>
        <v>5000</v>
      </c>
    </row>
    <row r="23" spans="1:7" x14ac:dyDescent="0.25">
      <c r="A23" s="48" t="s">
        <v>101</v>
      </c>
      <c r="B23" s="119">
        <v>44288</v>
      </c>
      <c r="C23" s="38" t="s">
        <v>187</v>
      </c>
      <c r="D23" s="37">
        <v>8500</v>
      </c>
      <c r="E23" s="38">
        <v>6</v>
      </c>
      <c r="F23" s="38" t="s">
        <v>248</v>
      </c>
      <c r="G23" s="37">
        <f t="shared" si="0"/>
        <v>51000</v>
      </c>
    </row>
    <row r="24" spans="1:7" x14ac:dyDescent="0.25">
      <c r="A24" s="48" t="s">
        <v>102</v>
      </c>
      <c r="B24" s="119"/>
      <c r="C24" s="38" t="s">
        <v>274</v>
      </c>
      <c r="D24" s="37">
        <v>4333.3333000000002</v>
      </c>
      <c r="E24" s="38">
        <v>3</v>
      </c>
      <c r="F24" s="38" t="s">
        <v>248</v>
      </c>
      <c r="G24" s="37">
        <f t="shared" si="0"/>
        <v>12999.999900000001</v>
      </c>
    </row>
    <row r="25" spans="1:7" x14ac:dyDescent="0.25">
      <c r="A25" s="48" t="s">
        <v>103</v>
      </c>
      <c r="B25" s="119"/>
      <c r="C25" s="38" t="s">
        <v>398</v>
      </c>
      <c r="D25" s="37">
        <v>17000</v>
      </c>
      <c r="E25" s="38">
        <v>2</v>
      </c>
      <c r="F25" s="38" t="s">
        <v>248</v>
      </c>
      <c r="G25" s="37">
        <f t="shared" si="0"/>
        <v>34000</v>
      </c>
    </row>
    <row r="26" spans="1:7" x14ac:dyDescent="0.25">
      <c r="A26" s="48" t="s">
        <v>104</v>
      </c>
      <c r="B26" s="119"/>
      <c r="C26" s="38" t="s">
        <v>397</v>
      </c>
      <c r="D26" s="37">
        <v>17000</v>
      </c>
      <c r="E26" s="38">
        <v>8</v>
      </c>
      <c r="F26" s="38" t="s">
        <v>248</v>
      </c>
      <c r="G26" s="37">
        <f t="shared" si="0"/>
        <v>136000</v>
      </c>
    </row>
    <row r="27" spans="1:7" x14ac:dyDescent="0.25">
      <c r="A27" s="48" t="s">
        <v>105</v>
      </c>
      <c r="B27" s="119"/>
      <c r="C27" s="38" t="s">
        <v>396</v>
      </c>
      <c r="D27" s="37">
        <v>22500</v>
      </c>
      <c r="E27" s="38">
        <v>2</v>
      </c>
      <c r="F27" s="38" t="s">
        <v>244</v>
      </c>
      <c r="G27" s="37">
        <f t="shared" si="0"/>
        <v>45000</v>
      </c>
    </row>
    <row r="28" spans="1:7" x14ac:dyDescent="0.25">
      <c r="A28" s="48" t="s">
        <v>106</v>
      </c>
      <c r="B28" s="119"/>
      <c r="C28" s="38" t="s">
        <v>395</v>
      </c>
      <c r="D28" s="37">
        <v>30000</v>
      </c>
      <c r="E28" s="38">
        <v>2</v>
      </c>
      <c r="F28" s="38" t="s">
        <v>394</v>
      </c>
      <c r="G28" s="37">
        <f t="shared" si="0"/>
        <v>60000</v>
      </c>
    </row>
    <row r="29" spans="1:7" x14ac:dyDescent="0.25">
      <c r="A29" s="48" t="s">
        <v>107</v>
      </c>
      <c r="B29" s="119"/>
      <c r="C29" s="38" t="s">
        <v>314</v>
      </c>
      <c r="D29" s="37">
        <v>3000</v>
      </c>
      <c r="E29" s="38">
        <v>1</v>
      </c>
      <c r="F29" s="38" t="s">
        <v>273</v>
      </c>
      <c r="G29" s="37">
        <f t="shared" si="0"/>
        <v>3000</v>
      </c>
    </row>
    <row r="30" spans="1:7" x14ac:dyDescent="0.25">
      <c r="A30" s="48" t="s">
        <v>108</v>
      </c>
      <c r="B30" s="119"/>
      <c r="C30" s="38" t="s">
        <v>313</v>
      </c>
      <c r="D30" s="37">
        <v>8000</v>
      </c>
      <c r="E30" s="38">
        <v>1</v>
      </c>
      <c r="F30" s="38" t="s">
        <v>273</v>
      </c>
      <c r="G30" s="37">
        <f t="shared" si="0"/>
        <v>8000</v>
      </c>
    </row>
    <row r="31" spans="1:7" x14ac:dyDescent="0.25">
      <c r="A31" s="48" t="s">
        <v>109</v>
      </c>
      <c r="B31" s="119">
        <v>44289</v>
      </c>
      <c r="C31" s="38" t="s">
        <v>183</v>
      </c>
      <c r="D31" s="37">
        <v>525000</v>
      </c>
      <c r="E31" s="38">
        <v>1</v>
      </c>
      <c r="F31" s="38" t="s">
        <v>393</v>
      </c>
      <c r="G31" s="37">
        <f t="shared" si="0"/>
        <v>525000</v>
      </c>
    </row>
    <row r="32" spans="1:7" x14ac:dyDescent="0.25">
      <c r="A32" s="48" t="s">
        <v>110</v>
      </c>
      <c r="B32" s="119"/>
      <c r="C32" s="38" t="s">
        <v>392</v>
      </c>
      <c r="D32" s="37">
        <v>20000</v>
      </c>
      <c r="E32" s="38">
        <v>2</v>
      </c>
      <c r="F32" s="38" t="s">
        <v>391</v>
      </c>
      <c r="G32" s="37">
        <f t="shared" si="0"/>
        <v>40000</v>
      </c>
    </row>
    <row r="33" spans="1:10" x14ac:dyDescent="0.25">
      <c r="A33" s="48" t="s">
        <v>111</v>
      </c>
      <c r="B33" s="119"/>
      <c r="C33" s="38" t="s">
        <v>390</v>
      </c>
      <c r="D33" s="37">
        <v>15000</v>
      </c>
      <c r="E33" s="38">
        <v>1</v>
      </c>
      <c r="F33" s="38" t="s">
        <v>248</v>
      </c>
      <c r="G33" s="37">
        <f t="shared" si="0"/>
        <v>15000</v>
      </c>
    </row>
    <row r="34" spans="1:10" x14ac:dyDescent="0.25">
      <c r="A34" s="48" t="s">
        <v>112</v>
      </c>
      <c r="B34" s="119"/>
      <c r="C34" s="38" t="s">
        <v>182</v>
      </c>
      <c r="D34" s="37">
        <v>50000</v>
      </c>
      <c r="E34" s="38">
        <v>1</v>
      </c>
      <c r="F34" s="38" t="s">
        <v>248</v>
      </c>
      <c r="G34" s="37">
        <f t="shared" si="0"/>
        <v>50000</v>
      </c>
    </row>
    <row r="35" spans="1:10" x14ac:dyDescent="0.25">
      <c r="A35" s="48" t="s">
        <v>113</v>
      </c>
      <c r="B35" s="119"/>
      <c r="C35" s="38" t="s">
        <v>279</v>
      </c>
      <c r="D35" s="37">
        <v>9000</v>
      </c>
      <c r="E35" s="38">
        <v>2</v>
      </c>
      <c r="F35" s="38" t="s">
        <v>273</v>
      </c>
      <c r="G35" s="37">
        <f t="shared" si="0"/>
        <v>18000</v>
      </c>
    </row>
    <row r="36" spans="1:10" x14ac:dyDescent="0.25">
      <c r="A36" s="48" t="s">
        <v>114</v>
      </c>
      <c r="B36" s="119">
        <v>44290</v>
      </c>
      <c r="C36" s="38" t="s">
        <v>389</v>
      </c>
      <c r="D36" s="37">
        <v>250</v>
      </c>
      <c r="E36" s="38">
        <v>300</v>
      </c>
      <c r="F36" s="38" t="s">
        <v>280</v>
      </c>
      <c r="G36" s="37">
        <f t="shared" si="0"/>
        <v>75000</v>
      </c>
    </row>
    <row r="37" spans="1:10" x14ac:dyDescent="0.25">
      <c r="A37" s="48" t="s">
        <v>115</v>
      </c>
      <c r="B37" s="119"/>
      <c r="C37" s="38" t="s">
        <v>388</v>
      </c>
      <c r="D37" s="37">
        <v>20000</v>
      </c>
      <c r="E37" s="38">
        <v>2</v>
      </c>
      <c r="F37" s="38" t="s">
        <v>387</v>
      </c>
      <c r="G37" s="37">
        <f t="shared" si="0"/>
        <v>40000</v>
      </c>
    </row>
    <row r="38" spans="1:10" x14ac:dyDescent="0.25">
      <c r="A38" s="48" t="s">
        <v>116</v>
      </c>
      <c r="B38" s="119"/>
      <c r="C38" s="38" t="s">
        <v>386</v>
      </c>
      <c r="D38" s="37">
        <v>50000</v>
      </c>
      <c r="E38" s="38">
        <v>2</v>
      </c>
      <c r="F38" s="38" t="s">
        <v>23</v>
      </c>
      <c r="G38" s="37">
        <f t="shared" si="0"/>
        <v>100000</v>
      </c>
    </row>
    <row r="39" spans="1:10" x14ac:dyDescent="0.25">
      <c r="A39" s="48" t="s">
        <v>117</v>
      </c>
      <c r="B39" s="119"/>
      <c r="C39" s="38" t="s">
        <v>385</v>
      </c>
      <c r="D39" s="37">
        <v>25000</v>
      </c>
      <c r="E39" s="38">
        <v>1</v>
      </c>
      <c r="F39" s="38" t="s">
        <v>246</v>
      </c>
      <c r="G39" s="37">
        <f t="shared" si="0"/>
        <v>25000</v>
      </c>
    </row>
    <row r="40" spans="1:10" x14ac:dyDescent="0.25">
      <c r="A40" s="48" t="s">
        <v>118</v>
      </c>
      <c r="B40" s="119"/>
      <c r="C40" s="38" t="s">
        <v>384</v>
      </c>
      <c r="D40" s="37">
        <v>36000</v>
      </c>
      <c r="E40" s="38">
        <v>1</v>
      </c>
      <c r="F40" s="38" t="s">
        <v>383</v>
      </c>
      <c r="G40" s="37">
        <f t="shared" si="0"/>
        <v>36000</v>
      </c>
    </row>
    <row r="41" spans="1:10" x14ac:dyDescent="0.25">
      <c r="A41" s="126" t="s">
        <v>349</v>
      </c>
      <c r="B41" s="126"/>
      <c r="C41" s="126"/>
      <c r="D41" s="126"/>
      <c r="E41" s="126"/>
      <c r="F41" s="126"/>
      <c r="G41" s="41">
        <f>SUM(G19:G40)</f>
        <v>1310499.9998999999</v>
      </c>
    </row>
    <row r="43" spans="1:10" x14ac:dyDescent="0.25">
      <c r="A43" s="118" t="s">
        <v>382</v>
      </c>
      <c r="B43" s="118"/>
      <c r="C43" s="118"/>
      <c r="D43" s="118"/>
      <c r="E43" s="118"/>
      <c r="F43" s="118"/>
      <c r="G43" s="118"/>
      <c r="H43" s="118"/>
      <c r="I43" s="118"/>
    </row>
    <row r="44" spans="1:10" x14ac:dyDescent="0.25">
      <c r="A44" s="118"/>
      <c r="B44" s="118"/>
      <c r="C44" s="118"/>
      <c r="D44" s="118"/>
      <c r="E44" s="118"/>
      <c r="F44" s="118"/>
      <c r="G44" s="118"/>
      <c r="H44" s="118"/>
      <c r="I44" s="118"/>
    </row>
    <row r="45" spans="1:10" x14ac:dyDescent="0.25">
      <c r="A45" s="51"/>
      <c r="B45" s="51"/>
      <c r="C45" s="51"/>
    </row>
    <row r="46" spans="1:10" x14ac:dyDescent="0.25">
      <c r="A46" s="128" t="s">
        <v>381</v>
      </c>
      <c r="B46" s="128"/>
      <c r="C46" s="51"/>
    </row>
    <row r="47" spans="1:10" x14ac:dyDescent="0.25">
      <c r="A47" s="49" t="s">
        <v>130</v>
      </c>
      <c r="B47" s="49" t="s">
        <v>377</v>
      </c>
      <c r="C47" s="50" t="s">
        <v>376</v>
      </c>
      <c r="D47" s="49" t="s">
        <v>375</v>
      </c>
      <c r="E47" s="49" t="s">
        <v>374</v>
      </c>
      <c r="F47" s="49" t="s">
        <v>373</v>
      </c>
      <c r="G47" s="49" t="s">
        <v>372</v>
      </c>
      <c r="H47" s="49" t="s">
        <v>371</v>
      </c>
      <c r="I47" s="49" t="s">
        <v>370</v>
      </c>
    </row>
    <row r="48" spans="1:10" x14ac:dyDescent="0.25">
      <c r="A48" s="48" t="s">
        <v>97</v>
      </c>
      <c r="B48" s="38" t="s">
        <v>369</v>
      </c>
      <c r="C48" s="37">
        <v>60000</v>
      </c>
      <c r="D48" s="37">
        <v>75000</v>
      </c>
      <c r="E48" s="37">
        <f>(D48-C48)</f>
        <v>15000</v>
      </c>
      <c r="F48" s="47">
        <v>23</v>
      </c>
      <c r="G48" s="37">
        <f>(E48*F48)</f>
        <v>345000</v>
      </c>
      <c r="H48" s="37">
        <f>(F48*D48)</f>
        <v>1725000</v>
      </c>
      <c r="I48" s="37">
        <f>(H48-G48)</f>
        <v>1380000</v>
      </c>
      <c r="J48" s="33"/>
    </row>
    <row r="49" spans="1:10" x14ac:dyDescent="0.25">
      <c r="A49" s="48" t="s">
        <v>98</v>
      </c>
      <c r="B49" s="38" t="s">
        <v>368</v>
      </c>
      <c r="C49" s="37">
        <v>55000</v>
      </c>
      <c r="D49" s="37">
        <v>70000</v>
      </c>
      <c r="E49" s="37">
        <f>(D49-C49)</f>
        <v>15000</v>
      </c>
      <c r="F49" s="47">
        <v>33</v>
      </c>
      <c r="G49" s="37">
        <f>(E49*F49)</f>
        <v>495000</v>
      </c>
      <c r="H49" s="37">
        <f>(F49*D49)</f>
        <v>2310000</v>
      </c>
      <c r="I49" s="37">
        <f>(H49-G49)</f>
        <v>1815000</v>
      </c>
    </row>
    <row r="50" spans="1:10" x14ac:dyDescent="0.25">
      <c r="A50" s="48" t="s">
        <v>99</v>
      </c>
      <c r="B50" s="38" t="s">
        <v>380</v>
      </c>
      <c r="C50" s="37">
        <v>65000</v>
      </c>
      <c r="D50" s="37">
        <v>80000</v>
      </c>
      <c r="E50" s="37">
        <f>(D50-C50)</f>
        <v>15000</v>
      </c>
      <c r="F50" s="47">
        <v>3</v>
      </c>
      <c r="G50" s="37">
        <f>(E50*F50)</f>
        <v>45000</v>
      </c>
      <c r="H50" s="37">
        <f>(F50*D50)</f>
        <v>240000</v>
      </c>
      <c r="I50" s="37">
        <f>(H50-G50)</f>
        <v>195000</v>
      </c>
    </row>
    <row r="51" spans="1:10" x14ac:dyDescent="0.25">
      <c r="A51" s="48" t="s">
        <v>100</v>
      </c>
      <c r="B51" s="38" t="s">
        <v>367</v>
      </c>
      <c r="C51" s="37">
        <v>60000</v>
      </c>
      <c r="D51" s="37">
        <v>75000</v>
      </c>
      <c r="E51" s="37">
        <f>(D51-C51)</f>
        <v>15000</v>
      </c>
      <c r="F51" s="47">
        <v>5</v>
      </c>
      <c r="G51" s="37">
        <f>(E51*F51)</f>
        <v>75000</v>
      </c>
      <c r="H51" s="37">
        <f>(F51*D51)</f>
        <v>375000</v>
      </c>
      <c r="I51" s="37">
        <f>(H51-G51)</f>
        <v>300000</v>
      </c>
    </row>
    <row r="52" spans="1:10" x14ac:dyDescent="0.25">
      <c r="A52" s="48" t="s">
        <v>101</v>
      </c>
      <c r="B52" s="38" t="s">
        <v>379</v>
      </c>
      <c r="C52" s="37">
        <v>45000</v>
      </c>
      <c r="D52" s="37">
        <v>60000</v>
      </c>
      <c r="E52" s="37">
        <f>(D52-C52)</f>
        <v>15000</v>
      </c>
      <c r="F52" s="47">
        <v>11</v>
      </c>
      <c r="G52" s="37">
        <f>(E52*F52)</f>
        <v>165000</v>
      </c>
      <c r="H52" s="37">
        <f>(F52*D52)</f>
        <v>660000</v>
      </c>
      <c r="I52" s="37">
        <f>(H52-G52)</f>
        <v>495000</v>
      </c>
    </row>
    <row r="53" spans="1:10" x14ac:dyDescent="0.25">
      <c r="A53" s="126" t="s">
        <v>349</v>
      </c>
      <c r="B53" s="126"/>
      <c r="C53" s="126"/>
      <c r="D53" s="126"/>
      <c r="E53" s="126"/>
      <c r="F53" s="46">
        <f>SUM(F48:F52)</f>
        <v>75</v>
      </c>
      <c r="G53" s="41">
        <f>SUM(G48:G52)</f>
        <v>1125000</v>
      </c>
      <c r="H53" s="41">
        <f>SUM(H48:H52)</f>
        <v>5310000</v>
      </c>
      <c r="I53" s="41">
        <f>SUM(I48:I52)</f>
        <v>4185000</v>
      </c>
    </row>
    <row r="55" spans="1:10" x14ac:dyDescent="0.25">
      <c r="A55" s="128" t="s">
        <v>378</v>
      </c>
      <c r="B55" s="128"/>
    </row>
    <row r="56" spans="1:10" x14ac:dyDescent="0.25">
      <c r="A56" s="49" t="s">
        <v>130</v>
      </c>
      <c r="B56" s="49" t="s">
        <v>377</v>
      </c>
      <c r="C56" s="50" t="s">
        <v>376</v>
      </c>
      <c r="D56" s="49" t="s">
        <v>375</v>
      </c>
      <c r="E56" s="49" t="s">
        <v>374</v>
      </c>
      <c r="F56" s="49" t="s">
        <v>373</v>
      </c>
      <c r="G56" s="49" t="s">
        <v>372</v>
      </c>
      <c r="H56" s="49" t="s">
        <v>371</v>
      </c>
      <c r="I56" s="49" t="s">
        <v>370</v>
      </c>
      <c r="J56" s="33"/>
    </row>
    <row r="57" spans="1:10" x14ac:dyDescent="0.25">
      <c r="A57" s="48" t="s">
        <v>97</v>
      </c>
      <c r="B57" s="38" t="s">
        <v>369</v>
      </c>
      <c r="C57" s="37">
        <v>60000</v>
      </c>
      <c r="D57" s="37">
        <v>75000</v>
      </c>
      <c r="E57" s="37">
        <f>(D57-C57)</f>
        <v>15000</v>
      </c>
      <c r="F57" s="47">
        <v>5</v>
      </c>
      <c r="G57" s="37">
        <f>(E57*F57)</f>
        <v>75000</v>
      </c>
      <c r="H57" s="37">
        <f>(F57*D57)</f>
        <v>375000</v>
      </c>
      <c r="I57" s="37">
        <f>(H57-G57)</f>
        <v>300000</v>
      </c>
    </row>
    <row r="58" spans="1:10" x14ac:dyDescent="0.25">
      <c r="A58" s="48" t="s">
        <v>98</v>
      </c>
      <c r="B58" s="38" t="s">
        <v>368</v>
      </c>
      <c r="C58" s="37">
        <v>55000</v>
      </c>
      <c r="D58" s="37">
        <v>70000</v>
      </c>
      <c r="E58" s="37">
        <f>(D58-C58)</f>
        <v>15000</v>
      </c>
      <c r="F58" s="47">
        <v>7</v>
      </c>
      <c r="G58" s="37">
        <f>(E58*F58)</f>
        <v>105000</v>
      </c>
      <c r="H58" s="37">
        <f>(F58*D58)</f>
        <v>490000</v>
      </c>
      <c r="I58" s="37">
        <f>(H58-G58)</f>
        <v>385000</v>
      </c>
    </row>
    <row r="59" spans="1:10" x14ac:dyDescent="0.25">
      <c r="A59" s="48" t="s">
        <v>99</v>
      </c>
      <c r="B59" s="38" t="s">
        <v>367</v>
      </c>
      <c r="C59" s="37">
        <v>60000</v>
      </c>
      <c r="D59" s="37">
        <v>75000</v>
      </c>
      <c r="E59" s="37">
        <f>(D59-C59)</f>
        <v>15000</v>
      </c>
      <c r="F59" s="47">
        <v>3</v>
      </c>
      <c r="G59" s="37">
        <f>(E59*F59)</f>
        <v>45000</v>
      </c>
      <c r="H59" s="37">
        <f>(F59*D59)</f>
        <v>225000</v>
      </c>
      <c r="I59" s="37">
        <f>(H59-G59)</f>
        <v>180000</v>
      </c>
    </row>
    <row r="60" spans="1:10" x14ac:dyDescent="0.25">
      <c r="A60" s="126" t="s">
        <v>349</v>
      </c>
      <c r="B60" s="126"/>
      <c r="C60" s="126"/>
      <c r="D60" s="126"/>
      <c r="E60" s="126"/>
      <c r="F60" s="46">
        <f>SUM(F55:F59)</f>
        <v>15</v>
      </c>
      <c r="G60" s="41">
        <f>SUM(G55:G59)</f>
        <v>225000</v>
      </c>
      <c r="H60" s="41">
        <f>SUM(H55:H59)</f>
        <v>1090000</v>
      </c>
      <c r="I60" s="41">
        <f>SUM(I57:I59)</f>
        <v>865000</v>
      </c>
    </row>
    <row r="61" spans="1:10" x14ac:dyDescent="0.25">
      <c r="I61" s="33"/>
    </row>
    <row r="62" spans="1:10" x14ac:dyDescent="0.25">
      <c r="B62" s="45" t="s">
        <v>366</v>
      </c>
    </row>
    <row r="63" spans="1:10" x14ac:dyDescent="0.25">
      <c r="B63" s="38" t="s">
        <v>365</v>
      </c>
      <c r="C63" s="38">
        <f>(F53+F60)</f>
        <v>90</v>
      </c>
      <c r="E63" s="18" t="s">
        <v>364</v>
      </c>
      <c r="F63" t="s">
        <v>363</v>
      </c>
      <c r="G63" s="33">
        <v>290000</v>
      </c>
    </row>
    <row r="64" spans="1:10" x14ac:dyDescent="0.25">
      <c r="B64" s="38" t="s">
        <v>362</v>
      </c>
      <c r="C64" s="37">
        <f>(H53+H60)</f>
        <v>6400000</v>
      </c>
      <c r="F64" t="s">
        <v>361</v>
      </c>
      <c r="G64" s="33">
        <v>145000</v>
      </c>
    </row>
    <row r="65" spans="2:8" x14ac:dyDescent="0.25">
      <c r="B65" s="38" t="s">
        <v>360</v>
      </c>
      <c r="C65" s="37">
        <f>(I53+I60)</f>
        <v>5050000</v>
      </c>
      <c r="F65" t="s">
        <v>359</v>
      </c>
      <c r="G65" s="33">
        <v>75000</v>
      </c>
    </row>
    <row r="66" spans="2:8" x14ac:dyDescent="0.25">
      <c r="B66" s="125"/>
      <c r="C66" s="125"/>
      <c r="F66" t="s">
        <v>358</v>
      </c>
      <c r="G66" s="33">
        <v>75000</v>
      </c>
    </row>
    <row r="67" spans="2:8" x14ac:dyDescent="0.25">
      <c r="B67" s="38" t="s">
        <v>357</v>
      </c>
      <c r="C67" s="37">
        <f>(C64-C65)</f>
        <v>1350000</v>
      </c>
      <c r="F67" t="s">
        <v>356</v>
      </c>
      <c r="G67" s="33">
        <v>75000</v>
      </c>
    </row>
    <row r="68" spans="2:8" x14ac:dyDescent="0.25">
      <c r="B68" s="44" t="s">
        <v>355</v>
      </c>
      <c r="C68" s="43">
        <v>70000</v>
      </c>
      <c r="F68" t="s">
        <v>354</v>
      </c>
      <c r="G68" s="33">
        <v>145000</v>
      </c>
    </row>
    <row r="69" spans="2:8" x14ac:dyDescent="0.25">
      <c r="B69" s="38" t="s">
        <v>353</v>
      </c>
      <c r="C69" s="37">
        <v>1000000</v>
      </c>
      <c r="F69" t="s">
        <v>352</v>
      </c>
      <c r="G69" s="33">
        <v>75000</v>
      </c>
    </row>
    <row r="70" spans="2:8" x14ac:dyDescent="0.25">
      <c r="B70" s="42" t="s">
        <v>351</v>
      </c>
      <c r="C70" s="41">
        <f>C67-C68-C69</f>
        <v>280000</v>
      </c>
      <c r="F70" t="s">
        <v>350</v>
      </c>
      <c r="G70" s="33">
        <v>140000</v>
      </c>
    </row>
    <row r="71" spans="2:8" x14ac:dyDescent="0.25">
      <c r="B71" s="125"/>
      <c r="C71" s="125"/>
      <c r="F71" s="40" t="s">
        <v>349</v>
      </c>
      <c r="G71" s="39">
        <f>SUM(G63:G70)</f>
        <v>1020000</v>
      </c>
    </row>
    <row r="72" spans="2:8" x14ac:dyDescent="0.25">
      <c r="B72" s="38" t="s">
        <v>348</v>
      </c>
      <c r="C72" s="37">
        <v>4310000</v>
      </c>
    </row>
    <row r="73" spans="2:8" x14ac:dyDescent="0.25">
      <c r="B73" s="36" t="s">
        <v>347</v>
      </c>
      <c r="C73" s="35">
        <f>C65-C72</f>
        <v>740000</v>
      </c>
      <c r="H73" s="33"/>
    </row>
    <row r="75" spans="2:8" x14ac:dyDescent="0.25">
      <c r="B75" s="34" t="s">
        <v>346</v>
      </c>
      <c r="C75" s="33">
        <f>(C70+C73)-G71</f>
        <v>0</v>
      </c>
    </row>
  </sheetData>
  <mergeCells count="28">
    <mergeCell ref="B71:C71"/>
    <mergeCell ref="A46:B46"/>
    <mergeCell ref="A55:B55"/>
    <mergeCell ref="A53:E53"/>
    <mergeCell ref="A60:E60"/>
    <mergeCell ref="B66:C66"/>
    <mergeCell ref="A1:G2"/>
    <mergeCell ref="A7:B7"/>
    <mergeCell ref="A17:B17"/>
    <mergeCell ref="A15:F15"/>
    <mergeCell ref="C8:F8"/>
    <mergeCell ref="C11:F11"/>
    <mergeCell ref="C12:F12"/>
    <mergeCell ref="A3:B3"/>
    <mergeCell ref="A4:B4"/>
    <mergeCell ref="A5:B5"/>
    <mergeCell ref="A43:I44"/>
    <mergeCell ref="B19:B22"/>
    <mergeCell ref="B23:B30"/>
    <mergeCell ref="B31:B35"/>
    <mergeCell ref="B36:B40"/>
    <mergeCell ref="B9:B12"/>
    <mergeCell ref="C14:F14"/>
    <mergeCell ref="E18:F18"/>
    <mergeCell ref="C9:F9"/>
    <mergeCell ref="C10:F10"/>
    <mergeCell ref="A41:F41"/>
    <mergeCell ref="C13:F13"/>
  </mergeCells>
  <pageMargins left="0.7" right="0.7" top="0.75" bottom="0.75" header="0.3" footer="0.3"/>
  <pageSetup orientation="portrait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Template Matriks Kerja Tahunan </vt:lpstr>
      <vt:lpstr>Template Juklak Juknis FesBAM</vt:lpstr>
      <vt:lpstr>Template Ttg Perlengkapan</vt:lpstr>
      <vt:lpstr>Cth Lap. Keuangan per Kategori</vt:lpstr>
      <vt:lpstr>Cth Lap. Keuangan per Tgl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Fahmi Al Alam</dc:creator>
  <cp:lastModifiedBy>Fahmi Al Alam</cp:lastModifiedBy>
  <cp:lastPrinted>2021-08-19T05:45:55Z</cp:lastPrinted>
  <dcterms:created xsi:type="dcterms:W3CDTF">2015-06-05T18:17:20Z</dcterms:created>
  <dcterms:modified xsi:type="dcterms:W3CDTF">2021-08-24T08:20:13Z</dcterms:modified>
</cp:coreProperties>
</file>